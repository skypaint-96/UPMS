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drawings/charts/chart3.xml" ContentType="application/vnd.openxmlformats-officedocument.drawingml.chart+xml"/>
  <Override PartName="/xl/drawings/charts/chart4.xml" ContentType="application/vnd.openxmlformats-officedocument.drawingml.chart+xml"/>
  <Override PartName="/xl/drawings/charts/chart5.xml" ContentType="application/vnd.openxmlformats-officedocument.drawingml.char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008e2e89d064be8" /></Relationships>
</file>

<file path=xl/workbook.xml><?xml version="1.0" encoding="utf-8"?>
<x:workbook xmlns:x="http://schemas.openxmlformats.org/spreadsheetml/2006/main">
  <x:sheets>
    <x:sheet xmlns:r="http://schemas.openxmlformats.org/officeDocument/2006/relationships" name="Information" sheetId="1" r:id="R65b3a808ddb94540"/>
    <x:sheet xmlns:r="http://schemas.openxmlformats.org/officeDocument/2006/relationships" name="Dashboard" sheetId="2" r:id="R6f2b436cf88e464e"/>
    <x:sheet xmlns:r="http://schemas.openxmlformats.org/officeDocument/2006/relationships" name="CGI" sheetId="3" r:id="R3bbd81ab38b1489a"/>
    <x:sheet xmlns:r="http://schemas.openxmlformats.org/officeDocument/2006/relationships" name="Data" sheetId="4" r:id="R7c6ee0d0e51245eb"/>
  </x:sheets>
  <x:definedNames>
    <x:definedName name="_xlnm.Print_Area" localSheetId="1">'Dashboard'!$A$1:$Z$36</x:definedName>
  </x:definedName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164" formatCode="0.0"/>
    <x:numFmt numFmtId="165" formatCode="[$-1009]mmmm\ d\,\ yyyy;@"/>
    <x:numFmt numFmtId="166" formatCode="[$-809]dd\ mmmm\ yyyy;@"/>
    <x:numFmt numFmtId="167" formatCode="_(&quot;$&quot;* #,##0.00_);_(&quot;$&quot;* \(#,##0.00\);_(&quot;$&quot;* &quot;-&quot;??_);_(@_)"/>
    <x:numFmt numFmtId="168" formatCode="+0;-0;0"/>
  </x:numFmts>
  <x:fonts count="35">
    <x:font>
      <x:sz val="10"/>
      <x:color theme="1"/>
      <x:name val="Arial"/>
      <x:family val="2"/>
      <x:scheme val="minor"/>
    </x:font>
    <x:font>
      <x:b/>
      <x:sz val="11"/>
      <x:color theme="1"/>
      <x:name val="Arial"/>
      <x:family val="2"/>
      <x:scheme val="minor"/>
    </x:font>
    <x:font>
      <x:b/>
      <x:sz val="10"/>
      <x:name val="Arial"/>
      <x:family val="2"/>
      <x:scheme val="minor"/>
    </x:font>
    <x:font>
      <x:b/>
      <x:sz val="11"/>
      <x:name val="Arial"/>
      <x:family val="2"/>
      <x:scheme val="minor"/>
    </x:font>
    <x:font>
      <x:sz val="14"/>
      <x:color theme="1"/>
      <x:name val="Arial"/>
      <x:family val="2"/>
      <x:scheme val="major"/>
    </x:font>
    <x:font>
      <x:b/>
      <x:sz val="11"/>
      <x:color theme="2"/>
      <x:name val="Arial"/>
      <x:family val="2"/>
      <x:scheme val="minor"/>
    </x:font>
    <x:font>
      <x:b/>
      <x:sz val="10"/>
      <x:color theme="4"/>
      <x:name val="Arial"/>
      <x:family val="2"/>
      <x:scheme val="minor"/>
    </x:font>
    <x:font>
      <x:sz val="11"/>
      <x:color theme="7"/>
      <x:name val="Arial"/>
      <x:family val="2"/>
      <x:scheme val="minor"/>
    </x:font>
    <x:font>
      <x:sz val="10"/>
      <x:color theme="1"/>
      <x:name val="Arial"/>
      <x:family val="2"/>
      <x:scheme val="minor"/>
    </x:font>
    <x:font>
      <x:sz val="10"/>
      <x:color theme="4"/>
      <x:name val="Arial"/>
      <x:family val="2"/>
      <x:scheme val="minor"/>
    </x:font>
    <x:font>
      <x:sz val="10"/>
      <x:color rgb="FF777777"/>
      <x:name val="Arial"/>
      <x:family val="2"/>
      <x:scheme val="minor"/>
    </x:font>
    <x:font>
      <x:b/>
      <x:sz val="10"/>
      <x:color theme="8"/>
      <x:name val="Arial"/>
      <x:family val="2"/>
      <x:scheme val="minor"/>
    </x:font>
    <x:font>
      <x:b/>
      <x:sz val="10"/>
      <x:color theme="0"/>
      <x:name val="Arial"/>
      <x:family val="2"/>
      <x:scheme val="minor"/>
    </x:font>
    <x:font>
      <x:i/>
      <x:sz val="10"/>
      <x:color rgb="FF7F7F7F"/>
      <x:name val="Arial"/>
      <x:family val="2"/>
      <x:scheme val="minor"/>
    </x:font>
    <x:font>
      <x:sz val="10"/>
      <x:color theme="0"/>
      <x:name val="Arial"/>
      <x:family val="2"/>
      <x:scheme val="minor"/>
    </x:font>
    <x:font>
      <x:sz val="10"/>
      <x:color theme="7"/>
      <x:name val="Arial"/>
      <x:family val="2"/>
      <x:scheme val="minor"/>
    </x:font>
    <x:font>
      <x:b/>
      <x:sz val="10"/>
      <x:color theme="1"/>
      <x:name val="Arial"/>
      <x:family val="2"/>
      <x:scheme val="minor"/>
    </x:font>
    <x:font>
      <x:sz val="12"/>
      <x:color theme="1"/>
      <x:name val="Arial"/>
      <x:family val="2"/>
      <x:scheme val="minor"/>
    </x:font>
    <x:font>
      <x:b/>
      <x:sz val="11"/>
      <x:color theme="0"/>
      <x:name val="Arial"/>
      <x:family val="2"/>
      <x:scheme val="minor"/>
    </x:font>
    <x:font>
      <x:sz val="8"/>
      <x:name val="Arial"/>
      <x:family val="2"/>
      <x:scheme val="minor"/>
    </x:font>
    <x:font>
      <x:sz val="10"/>
      <x:color theme="1"/>
      <x:name val="Arial"/>
      <x:family val="2"/>
    </x:font>
    <x:font>
      <x:u val="single"/>
      <x:sz val="10"/>
      <x:color theme="10"/>
      <x:name val="Arial"/>
      <x:family val="2"/>
      <x:scheme val="minor"/>
    </x:font>
    <x:font>
      <x:sz val="10"/>
      <x:name val="Arial"/>
      <x:family val="2"/>
    </x:font>
    <x:font>
      <x:b/>
      <x:sz val="10"/>
      <x:name val="Arial"/>
      <x:family val="2"/>
    </x:font>
    <x:font>
      <x:b/>
      <x:sz val="14"/>
      <x:color rgb="00FFFFFF"/>
      <x:name val="Arial"/>
    </x:font>
    <x:font>
      <x:b/>
      <x:sz val="10"/>
      <x:color rgb="00FFFFFF"/>
      <x:name val="Arial"/>
    </x:font>
    <x:font>
      <x:sz val="10"/>
      <x:color rgb="002E3133"/>
      <x:name val="Arial"/>
    </x:font>
    <x:font>
      <x:b/>
      <x:sz val="10"/>
      <x:color rgb="002E3133"/>
      <x:name val="Arial"/>
    </x:font>
    <x:font>
      <x:b/>
      <x:sz val="10"/>
      <x:color rgb="00200A58"/>
      <x:name val="Arial"/>
    </x:font>
    <x:font>
      <x:b/>
      <x:sz val="9"/>
      <x:color rgb="002E3133"/>
      <x:name val="Arial"/>
    </x:font>
    <x:font>
      <x:b/>
      <x:sz val="9"/>
      <x:color rgb="00FFFFFF"/>
      <x:name val="Arial"/>
    </x:font>
    <x:font>
      <x:sz val="9"/>
      <x:color rgb="002E3133"/>
      <x:name val="Arial"/>
    </x:font>
    <x:font>
      <x:b/>
      <x:sz val="8"/>
      <x:color rgb="00200A58"/>
      <x:name val="Arial"/>
    </x:font>
    <x:font>
      <x:b/>
      <x:sz val="8"/>
      <x:color rgb="002E3133"/>
      <x:name val="Arial"/>
    </x:font>
    <x:font>
      <x:sz val="8"/>
      <x:color rgb="002E3133"/>
      <x:name val="Arial"/>
    </x:font>
  </x:fonts>
  <x:fills count="37">
    <x:fill>
      <x:patternFill patternType="none"/>
    </x:fill>
    <x:fill>
      <x:patternFill patternType="gray125"/>
    </x:fill>
    <x:fill>
      <x:patternFill patternType="solid">
        <x:fgColor theme="4"/>
      </x:patternFill>
    </x:fill>
    <x:fill>
      <x:patternFill patternType="solid">
        <x:fgColor theme="0" tint="-0.04999"/>
      </x:patternFill>
    </x:fill>
    <x:fill>
      <x:patternFill patternType="solid">
        <x:fgColor rgb="FFF2F2F2"/>
      </x:patternFill>
    </x:fill>
    <x:fill>
      <x:patternFill patternType="solid">
        <x:fgColor rgb="FFEEEEEE"/>
      </x:patternFill>
    </x:fill>
    <x:fill>
      <x:patternFill patternType="solid">
        <x:fgColor rgb="FFFFCDD2"/>
      </x:patternFill>
    </x:fill>
    <x:fill>
      <x:patternFill patternType="solid">
        <x:fgColor rgb="FFE6E3F3"/>
      </x:patternFill>
    </x:fill>
    <x:fill>
      <x:patternFill patternType="solid">
        <x:fgColor rgb="FFA5A5A5"/>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
      <x:patternFill patternType="solid">
        <x:fgColor theme="0"/>
      </x:patternFill>
    </x:fill>
    <x:fill>
      <x:patternFill patternType="solid">
        <x:fgColor theme="5" tint="0.79998"/>
      </x:patternFill>
    </x:fill>
    <x:fill>
      <x:patternFill patternType="solid">
        <x:fgColor rgb="005236AB"/>
      </x:patternFill>
    </x:fill>
    <x:fill>
      <x:patternFill patternType="solid">
        <x:fgColor rgb="00F2F1F9"/>
      </x:patternFill>
    </x:fill>
  </x:fills>
  <x:borders count="27">
    <x:border>
      <x:left/>
      <x:right/>
      <x:top/>
      <x:bottom/>
      <x:diagonal/>
    </x:border>
    <x:border>
      <x:left/>
      <x:right style="thin">
        <x:color theme="0"/>
      </x:right>
      <x:top/>
      <x:bottom/>
      <x:diagonal/>
    </x:border>
    <x:border>
      <x:left style="thin">
        <x:color theme="0"/>
      </x:left>
      <x:right style="thin">
        <x:color theme="0"/>
      </x:right>
      <x:top/>
      <x:bottom/>
      <x:diagonal/>
    </x:border>
    <x:border>
      <x:left style="thin">
        <x:color rgb="FF7F7F7F"/>
      </x:left>
      <x:right style="thin">
        <x:color rgb="FF7F7F7F"/>
      </x:right>
      <x:top style="thin">
        <x:color rgb="FF7F7F7F"/>
      </x:top>
      <x:bottom style="thin">
        <x:color rgb="FF7F7F7F"/>
      </x:bottom>
      <x:diagonal/>
    </x:border>
    <x:border>
      <x:left style="thin">
        <x:color rgb="FFB2B2B2"/>
      </x:left>
      <x:right style="thin">
        <x:color rgb="FFB2B2B2"/>
      </x:right>
      <x:top style="thin">
        <x:color rgb="FFB2B2B2"/>
      </x:top>
      <x:bottom style="thin">
        <x:color rgb="FFB2B2B2"/>
      </x:bottom>
      <x:diagonal/>
    </x:border>
    <x:border>
      <x:left/>
      <x:right/>
      <x:top/>
      <x:bottom style="double">
        <x:color theme="4"/>
      </x:bottom>
      <x:diagonal/>
    </x:border>
    <x:border>
      <x:left/>
      <x:right/>
      <x:top style="thin">
        <x:color theme="4"/>
      </x:top>
      <x:bottom style="thick">
        <x:color theme="4"/>
      </x:bottom>
      <x:diagonal/>
    </x:border>
    <x:border>
      <x:left/>
      <x:right/>
      <x:top/>
      <x:bottom style="thin">
        <x:color theme="2" tint="-0.09995"/>
      </x:bottom>
      <x:diagonal/>
    </x:border>
    <x:border>
      <x:left style="double">
        <x:color rgb="FF3F3F3F"/>
      </x:left>
      <x:right style="double">
        <x:color rgb="FF3F3F3F"/>
      </x:right>
      <x:top style="double">
        <x:color rgb="FF3F3F3F"/>
      </x:top>
      <x:bottom style="double">
        <x:color rgb="FF3F3F3F"/>
      </x:bottom>
      <x:diagonal/>
    </x:border>
    <x:border>
      <x:left style="thin">
        <x:color theme="2" tint="-0.09998"/>
      </x:left>
      <x:right/>
      <x:top style="thin">
        <x:color theme="2" tint="-0.09998"/>
      </x:top>
      <x:bottom/>
      <x:diagonal/>
    </x:border>
    <x:border>
      <x:left/>
      <x:right/>
      <x:top style="thin">
        <x:color theme="2" tint="-0.09998"/>
      </x:top>
      <x:bottom/>
      <x:diagonal/>
    </x:border>
    <x:border>
      <x:left/>
      <x:right style="thin">
        <x:color theme="2" tint="-0.09998"/>
      </x:right>
      <x:top style="thin">
        <x:color theme="2" tint="-0.09998"/>
      </x:top>
      <x:bottom/>
      <x:diagonal/>
    </x:border>
    <x:border>
      <x:left style="thin">
        <x:color theme="2" tint="-0.09998"/>
      </x:left>
      <x:right/>
      <x:top/>
      <x:bottom style="thin">
        <x:color theme="2" tint="-0.09998"/>
      </x:bottom>
      <x:diagonal/>
    </x:border>
    <x:border>
      <x:left/>
      <x:right/>
      <x:top/>
      <x:bottom style="thin">
        <x:color theme="2" tint="-0.09998"/>
      </x:bottom>
      <x:diagonal/>
    </x:border>
    <x:border>
      <x:left/>
      <x:right style="thin">
        <x:color theme="2" tint="-0.09998"/>
      </x:right>
      <x:top/>
      <x:bottom style="thin">
        <x:color theme="2" tint="-0.09998"/>
      </x:bottom>
      <x:diagonal/>
    </x:border>
    <x:border>
      <x:left style="thin">
        <x:color theme="2" tint="-0.09998"/>
      </x:left>
      <x:right/>
      <x:top style="thin">
        <x:color theme="2" tint="-0.09998"/>
      </x:top>
      <x:bottom style="thin">
        <x:color theme="2" tint="-0.09998"/>
      </x:bottom>
      <x:diagonal/>
    </x:border>
    <x:border>
      <x:left/>
      <x:right/>
      <x:top style="thin">
        <x:color theme="2" tint="-0.09998"/>
      </x:top>
      <x:bottom style="thin">
        <x:color theme="2" tint="-0.09998"/>
      </x:bottom>
      <x:diagonal/>
    </x:border>
    <x:border>
      <x:left style="thin">
        <x:color theme="0" tint="-0.15"/>
      </x:left>
      <x:right/>
      <x:top style="thin">
        <x:color theme="2" tint="-0.09998"/>
      </x:top>
      <x:bottom style="thin">
        <x:color theme="2" tint="-0.09998"/>
      </x:bottom>
      <x:diagonal/>
    </x:border>
    <x:border>
      <x:left/>
      <x:right style="thin">
        <x:color theme="2" tint="-0.09998"/>
      </x:right>
      <x:top style="thin">
        <x:color theme="2" tint="-0.09998"/>
      </x:top>
      <x:bottom style="thin">
        <x:color theme="2" tint="-0.09998"/>
      </x:bottom>
      <x:diagonal/>
    </x:border>
    <x:border>
      <x:left/>
      <x:right/>
      <x:top/>
      <x:bottom style="thick">
        <x:color theme="4"/>
      </x:bottom>
      <x:diagonal/>
    </x:border>
    <x:border>
      <x:left style="thin">
        <x:color theme="2" tint="-0.09998"/>
      </x:left>
      <x:right style="thin">
        <x:color theme="2" tint="-0.09998"/>
      </x:right>
      <x:top/>
      <x:bottom style="thin">
        <x:color theme="2" tint="-0.09998"/>
      </x:bottom>
      <x:diagonal/>
    </x:border>
    <x:border>
      <x:left style="thin">
        <x:color theme="2" tint="-0.09998"/>
      </x:left>
      <x:right style="thin">
        <x:color theme="2" tint="-0.09998"/>
      </x:right>
      <x:top style="thin">
        <x:color theme="2" tint="-0.09998"/>
      </x:top>
      <x:bottom style="thin">
        <x:color theme="2" tint="-0.09998"/>
      </x:bottom>
      <x:diagonal/>
    </x:border>
    <x:border>
      <x:left style="thin">
        <x:color theme="2" tint="-0.09998"/>
      </x:left>
      <x:right/>
      <x:top/>
      <x:bottom/>
      <x:diagonal/>
    </x:border>
    <x:border>
      <x:left/>
      <x:right style="thin">
        <x:color theme="2" tint="-0.09998"/>
      </x:right>
      <x:top/>
      <x:bottom/>
      <x:diagonal/>
    </x:border>
    <x:border>
      <x:left style="thin">
        <x:color theme="0" tint="-0.15"/>
      </x:left>
      <x:right style="thin">
        <x:color theme="2" tint="-0.09998"/>
      </x:right>
      <x:top style="thin">
        <x:color theme="2" tint="-0.09998"/>
      </x:top>
      <x:bottom style="thin">
        <x:color theme="2" tint="-0.09998"/>
      </x:bottom>
      <x:diagonal/>
    </x:border>
    <x:border>
      <x:left style="thin">
        <x:color rgb="00D9D5E6"/>
      </x:left>
      <x:right style="thin">
        <x:color rgb="00D9D5E6"/>
      </x:right>
      <x:top style="thin">
        <x:color rgb="00D9D5E6"/>
      </x:top>
      <x:bottom style="thin">
        <x:color rgb="00D9D5E6"/>
      </x:bottom>
    </x:border>
    <x:border/>
  </x:borders>
  <x:cellStyleXfs count="50">
    <x:xf numFmtId="2" fontId="8" fillId="0" borderId="0"/>
    <x:xf numFmtId="0" fontId="4" fillId="0" borderId="0"/>
    <x:xf numFmtId="0" fontId="3" fillId="0" borderId="7"/>
    <x:xf numFmtId="0" fontId="6" fillId="0" borderId="7"/>
    <x:xf numFmtId="0" fontId="2" fillId="0" borderId="7"/>
    <x:xf numFmtId="0" fontId="2" fillId="0" borderId="0"/>
    <x:xf numFmtId="0" fontId="15" fillId="5" borderId="0"/>
    <x:xf numFmtId="0" fontId="16" fillId="0" borderId="6"/>
    <x:xf numFmtId="0" fontId="9" fillId="5" borderId="0"/>
    <x:xf numFmtId="0" fontId="10" fillId="5" borderId="0"/>
    <x:xf numFmtId="0" fontId="8" fillId="6" borderId="3"/>
    <x:xf numFmtId="0" fontId="11" fillId="4" borderId="3"/>
    <x:xf numFmtId="0" fontId="9" fillId="0" borderId="5"/>
    <x:xf numFmtId="0" fontId="8" fillId="7" borderId="4"/>
    <x:xf numFmtId="0" fontId="7" fillId="0" borderId="0"/>
    <x:xf numFmtId="43" fontId="8" fillId="0" borderId="0"/>
    <x:xf numFmtId="41" fontId="8" fillId="0" borderId="0"/>
    <x:xf numFmtId="167" fontId="8" fillId="0" borderId="0"/>
    <x:xf numFmtId="42" fontId="8" fillId="0" borderId="0"/>
    <x:xf numFmtId="9" fontId="8" fillId="0" borderId="0"/>
    <x:xf numFmtId="0" fontId="12" fillId="8" borderId="8"/>
    <x:xf numFmtId="0" fontId="13" fillId="0" borderId="0"/>
    <x:xf numFmtId="0" fontId="14" fillId="9" borderId="0"/>
    <x:xf numFmtId="0" fontId="8" fillId="10" borderId="0"/>
    <x:xf numFmtId="0" fontId="8" fillId="11" borderId="0"/>
    <x:xf numFmtId="0" fontId="14" fillId="12" borderId="0"/>
    <x:xf numFmtId="0" fontId="14" fillId="13" borderId="0"/>
    <x:xf numFmtId="0" fontId="8" fillId="14" borderId="0"/>
    <x:xf numFmtId="0" fontId="8" fillId="15" borderId="0"/>
    <x:xf numFmtId="0" fontId="8" fillId="16" borderId="0"/>
    <x:xf numFmtId="0" fontId="8" fillId="17" borderId="0"/>
    <x:xf numFmtId="0" fontId="8" fillId="18" borderId="0"/>
    <x:xf numFmtId="0" fontId="8" fillId="19" borderId="0"/>
    <x:xf numFmtId="0" fontId="8" fillId="20" borderId="0"/>
    <x:xf numFmtId="0" fontId="14" fillId="21" borderId="0"/>
    <x:xf numFmtId="0" fontId="8" fillId="22" borderId="0"/>
    <x:xf numFmtId="0" fontId="8" fillId="23" borderId="0"/>
    <x:xf numFmtId="0" fontId="8" fillId="24" borderId="0"/>
    <x:xf numFmtId="0" fontId="14" fillId="25" borderId="0"/>
    <x:xf numFmtId="0" fontId="8" fillId="26" borderId="0"/>
    <x:xf numFmtId="0" fontId="8" fillId="27" borderId="0"/>
    <x:xf numFmtId="0" fontId="14" fillId="28" borderId="0"/>
    <x:xf numFmtId="0" fontId="14" fillId="29" borderId="0"/>
    <x:xf numFmtId="0" fontId="8" fillId="30" borderId="0"/>
    <x:xf numFmtId="0" fontId="8" fillId="31" borderId="0"/>
    <x:xf numFmtId="0" fontId="14" fillId="32" borderId="0"/>
    <x:xf numFmtId="0" fontId="17" fillId="0" borderId="0"/>
    <x:xf numFmtId="9" fontId="17" fillId="0" borderId="0"/>
    <x:xf numFmtId="2" fontId="21" fillId="0" borderId="0"/>
    <x:xf numFmtId="166" fontId="22" fillId="0" borderId="0"/>
  </x:cellStyleXfs>
  <x:cellXfs count="123">
    <x:xf numFmtId="2" fontId="0" fillId="0" borderId="0" xfId="0"/>
    <x:xf numFmtId="2" fontId="0" fillId="0" borderId="0" xfId="0" applyAlignment="1">
      <x:alignment vertical="top"/>
    </x:xf>
    <x:xf numFmtId="2" fontId="0" fillId="3" borderId="0" xfId="0" applyAlignment="1">
      <x:alignment vertical="top"/>
    </x:xf>
    <x:xf numFmtId="2" fontId="1" fillId="0" borderId="0" xfId="0" applyAlignment="1">
      <x:alignment vertical="top"/>
    </x:xf>
    <x:xf numFmtId="2" fontId="5" fillId="2" borderId="0" xfId="0" applyAlignment="1">
      <x:alignment horizontal="right" vertical="top"/>
    </x:xf>
    <x:xf numFmtId="0" fontId="14" fillId="9" borderId="0" xfId="22" applyAlignment="1">
      <x:alignment vertical="top"/>
    </x:xf>
    <x:xf numFmtId="0" fontId="14" fillId="9" borderId="0" xfId="22" applyAlignment="1">
      <x:alignment horizontal="right" vertical="top"/>
    </x:xf>
    <x:xf numFmtId="0" fontId="14" fillId="9" borderId="1" xfId="22" applyAlignment="1">
      <x:alignment horizontal="right" vertical="top"/>
    </x:xf>
    <x:xf numFmtId="0" fontId="14" fillId="9" borderId="2" xfId="22" applyAlignment="1">
      <x:alignment horizontal="right" vertical="top"/>
    </x:xf>
    <x:xf numFmtId="2" fontId="16" fillId="3" borderId="0" xfId="0" applyAlignment="1">
      <x:alignment vertical="top"/>
    </x:xf>
    <x:xf numFmtId="2" fontId="16" fillId="0" borderId="0" xfId="0" applyAlignment="1">
      <x:alignment vertical="top"/>
    </x:xf>
    <x:xf numFmtId="2" fontId="14" fillId="9" borderId="0" xfId="22" applyAlignment="1">
      <x:alignment vertical="top"/>
    </x:xf>
    <x:xf numFmtId="9" fontId="8" fillId="0" borderId="0" xfId="19" applyAlignment="1">
      <x:alignment vertical="top"/>
    </x:xf>
    <x:xf numFmtId="0" fontId="14" fillId="33" borderId="0" xfId="22" applyAlignment="1">
      <x:alignment horizontal="right" vertical="top"/>
    </x:xf>
    <x:xf numFmtId="2" fontId="0" fillId="33" borderId="0" xfId="0" applyAlignment="1">
      <x:alignment vertical="top"/>
    </x:xf>
    <x:xf numFmtId="2" fontId="18" fillId="2" borderId="0" xfId="0" applyAlignment="1">
      <x:alignment horizontal="right" vertical="top"/>
    </x:xf>
    <x:xf numFmtId="2" fontId="18" fillId="2" borderId="1" xfId="0" applyAlignment="1">
      <x:alignment horizontal="right" vertical="top"/>
    </x:xf>
    <x:xf numFmtId="2" fontId="0" fillId="2" borderId="0" xfId="0" applyAlignment="1">
      <x:alignment vertical="top"/>
    </x:xf>
    <x:xf numFmtId="1" fontId="0" fillId="3" borderId="0" xfId="0" applyAlignment="1">
      <x:alignment horizontal="right" vertical="top"/>
    </x:xf>
    <x:xf numFmtId="2" fontId="0" fillId="0" borderId="0" xfId="0" applyAlignment="1">
      <x:alignment horizontal="center"/>
    </x:xf>
    <x:xf numFmtId="2" fontId="0" fillId="0" borderId="0" xfId="0" applyAlignment="1">
      <x:alignment vertical="center"/>
    </x:xf>
    <x:xf numFmtId="2" fontId="8" fillId="0" borderId="0" xfId="0"/>
    <x:xf numFmtId="49" fontId="22" fillId="34" borderId="13" xfId="0" applyAlignment="1">
      <x:alignment horizontal="center" vertical="center" wrapText="1"/>
    </x:xf>
    <x:xf numFmtId="49" fontId="22" fillId="34" borderId="13" xfId="0" applyAlignment="1">
      <x:alignment horizontal="left" vertical="center" wrapText="1"/>
    </x:xf>
    <x:xf numFmtId="164" fontId="22" fillId="33" borderId="20" xfId="0" applyAlignment="1">
      <x:alignment horizontal="center" vertical="center" wrapText="1"/>
    </x:xf>
    <x:xf numFmtId="165" fontId="22" fillId="33" borderId="20" xfId="0" applyAlignment="1">
      <x:alignment horizontal="center" vertical="center" wrapText="1"/>
    </x:xf>
    <x:xf numFmtId="166" fontId="22" fillId="33" borderId="20" xfId="0" applyAlignment="1">
      <x:alignment horizontal="left" vertical="center" wrapText="1"/>
    </x:xf>
    <x:xf numFmtId="2" fontId="8" fillId="0" borderId="0" xfId="0" applyAlignment="1">
      <x:alignment vertical="center"/>
    </x:xf>
    <x:xf numFmtId="164" fontId="22" fillId="33" borderId="21" xfId="0" applyAlignment="1">
      <x:alignment horizontal="center" vertical="center" wrapText="1"/>
    </x:xf>
    <x:xf numFmtId="165" fontId="22" fillId="33" borderId="21" xfId="0" applyAlignment="1">
      <x:alignment horizontal="center" vertical="center" wrapText="1"/>
    </x:xf>
    <x:xf numFmtId="166" fontId="22" fillId="33" borderId="21" xfId="0" applyAlignment="1">
      <x:alignment horizontal="left" vertical="center" wrapText="1"/>
    </x:xf>
    <x:xf numFmtId="164" fontId="20" fillId="33" borderId="21" xfId="0" applyAlignment="1">
      <x:alignment horizontal="center" vertical="center"/>
    </x:xf>
    <x:xf numFmtId="2" fontId="20" fillId="33" borderId="21" xfId="0" applyAlignment="1">
      <x:alignment horizontal="left" vertical="center"/>
    </x:xf>
    <x:xf numFmtId="0" fontId="22" fillId="33" borderId="15" xfId="49" applyAlignment="1">
      <x:alignment horizontal="left" vertical="center"/>
    </x:xf>
    <x:xf numFmtId="0" fontId="22" fillId="33" borderId="16" xfId="49" applyAlignment="1">
      <x:alignment horizontal="left" vertical="center"/>
    </x:xf>
    <x:xf numFmtId="2" fontId="21" fillId="33" borderId="17" xfId="48" applyAlignment="1">
      <x:alignment horizontal="left" vertical="center" wrapText="1"/>
    </x:xf>
    <x:xf numFmtId="2" fontId="21" fillId="33" borderId="16" xfId="48" applyAlignment="1">
      <x:alignment horizontal="left" vertical="center" wrapText="1"/>
    </x:xf>
    <x:xf numFmtId="2" fontId="21" fillId="33" borderId="18" xfId="48" applyAlignment="1">
      <x:alignment horizontal="left" vertical="center" wrapText="1"/>
    </x:xf>
    <x:xf numFmtId="166" fontId="23" fillId="33" borderId="19" xfId="49" applyAlignment="1">
      <x:alignment horizontal="center" vertical="center"/>
    </x:xf>
    <x:xf numFmtId="0" fontId="22" fillId="33" borderId="17" xfId="49" applyAlignment="1">
      <x:alignment horizontal="left" vertical="center"/>
    </x:xf>
    <x:xf numFmtId="0" fontId="22" fillId="33" borderId="18" xfId="49" applyAlignment="1">
      <x:alignment horizontal="left" vertical="center"/>
    </x:xf>
    <x:xf numFmtId="164" fontId="22" fillId="33" borderId="17" xfId="0" applyAlignment="1">
      <x:alignment horizontal="left" vertical="center"/>
    </x:xf>
    <x:xf numFmtId="164" fontId="22" fillId="33" borderId="16" xfId="0" applyAlignment="1">
      <x:alignment horizontal="left" vertical="center"/>
    </x:xf>
    <x:xf numFmtId="164" fontId="22" fillId="33" borderId="18" xfId="0" applyAlignment="1">
      <x:alignment horizontal="left" vertical="center"/>
    </x:xf>
    <x:xf numFmtId="165" fontId="20" fillId="33" borderId="17" xfId="49" applyAlignment="1">
      <x:alignment horizontal="left" vertical="center"/>
    </x:xf>
    <x:xf numFmtId="165" fontId="20" fillId="33" borderId="16" xfId="49" applyAlignment="1">
      <x:alignment horizontal="left" vertical="center"/>
    </x:xf>
    <x:xf numFmtId="165" fontId="20" fillId="33" borderId="18" xfId="49" applyAlignment="1">
      <x:alignment horizontal="left" vertical="center"/>
    </x:xf>
    <x:xf numFmtId="2" fontId="0" fillId="0" borderId="0" xfId="0" applyAlignment="1">
      <x:alignment horizontal="center"/>
    </x:xf>
    <x:xf numFmtId="2" fontId="12" fillId="2" borderId="9" xfId="0" applyAlignment="1">
      <x:alignment horizontal="center" vertical="center"/>
    </x:xf>
    <x:xf numFmtId="2" fontId="12" fillId="2" borderId="10" xfId="0" applyAlignment="1">
      <x:alignment horizontal="center" vertical="center"/>
    </x:xf>
    <x:xf numFmtId="2" fontId="12" fillId="2" borderId="11" xfId="0" applyAlignment="1">
      <x:alignment horizontal="center" vertical="center"/>
    </x:xf>
    <x:xf numFmtId="2" fontId="12" fillId="2" borderId="12" xfId="0" applyAlignment="1">
      <x:alignment horizontal="center" vertical="center"/>
    </x:xf>
    <x:xf numFmtId="2" fontId="12" fillId="2" borderId="13" xfId="0" applyAlignment="1">
      <x:alignment horizontal="center" vertical="center"/>
    </x:xf>
    <x:xf numFmtId="2" fontId="12" fillId="2" borderId="14" xfId="0" applyAlignment="1">
      <x:alignment horizontal="center" vertical="center"/>
    </x:xf>
    <x:xf numFmtId="166" fontId="20" fillId="33" borderId="17" xfId="49" applyAlignment="1">
      <x:alignment horizontal="left" vertical="center"/>
    </x:xf>
    <x:xf numFmtId="166" fontId="20" fillId="33" borderId="16" xfId="49" applyAlignment="1">
      <x:alignment horizontal="left" vertical="center"/>
    </x:xf>
    <x:xf numFmtId="166" fontId="20" fillId="33" borderId="18" xfId="49" applyAlignment="1">
      <x:alignment horizontal="left" vertical="center"/>
    </x:xf>
    <x:xf numFmtId="0" fontId="0" fillId="0" borderId="0" xfId="0"/>
    <x:xf numFmtId="2" fontId="12" fillId="2" borderId="21" xfId="0" applyAlignment="1">
      <x:alignment horizontal="center" vertical="center"/>
    </x:xf>
    <x:xf numFmtId="0" fontId="0" fillId="0" borderId="10" xfId="0"/>
    <x:xf numFmtId="0" fontId="0" fillId="0" borderId="11" xfId="0"/>
    <x:xf numFmtId="0" fontId="0" fillId="0" borderId="12" xfId="0"/>
    <x:xf numFmtId="0" fontId="0" fillId="0" borderId="13" xfId="0"/>
    <x:xf numFmtId="0" fontId="0" fillId="0" borderId="14" xfId="0"/>
    <x:xf numFmtId="0" fontId="0" fillId="0" borderId="16" xfId="0"/>
    <x:xf numFmtId="166" fontId="20" fillId="33" borderId="24" xfId="49" applyAlignment="1">
      <x:alignment horizontal="left" vertical="center"/>
    </x:xf>
    <x:xf numFmtId="0" fontId="0" fillId="0" borderId="18" xfId="0"/>
    <x:xf numFmtId="0" fontId="22" fillId="33" borderId="24" xfId="49" applyAlignment="1">
      <x:alignment horizontal="left" vertical="center"/>
    </x:xf>
    <x:xf numFmtId="164" fontId="22" fillId="33" borderId="24" xfId="0" applyAlignment="1">
      <x:alignment horizontal="left" vertical="center"/>
    </x:xf>
    <x:xf numFmtId="165" fontId="20" fillId="33" borderId="24" xfId="49" applyAlignment="1">
      <x:alignment horizontal="left" vertical="center"/>
    </x:xf>
    <x:xf numFmtId="2" fontId="21" fillId="33" borderId="24" xfId="48" applyAlignment="1">
      <x:alignment vertical="center" wrapText="1"/>
    </x:xf>
    <x:xf numFmtId="166" fontId="23" fillId="33" borderId="19" xfId="49" applyAlignment="1">
      <x:alignment horizontal="center" vertical="center"/>
    </x:xf>
    <x:xf numFmtId="0" fontId="0" fillId="0" borderId="19" xfId="0"/>
    <x:xf numFmtId="164" fontId="22" fillId="33" borderId="20" xfId="0" applyAlignment="1">
      <x:alignment vertical="center"/>
    </x:xf>
    <x:xf numFmtId="165" fontId="22" fillId="33" borderId="20" xfId="0" applyAlignment="1">
      <x:alignment vertical="center"/>
    </x:xf>
    <x:xf numFmtId="166" fontId="22" fillId="33" borderId="20" xfId="0" applyAlignment="1">
      <x:alignment vertical="center"/>
    </x:xf>
    <x:xf numFmtId="164" fontId="22" fillId="33" borderId="21" xfId="0" applyAlignment="1">
      <x:alignment vertical="center"/>
    </x:xf>
    <x:xf numFmtId="165" fontId="22" fillId="33" borderId="21" xfId="0" applyAlignment="1">
      <x:alignment vertical="center"/>
    </x:xf>
    <x:xf numFmtId="166" fontId="22" fillId="33" borderId="21" xfId="0" applyAlignment="1">
      <x:alignment vertical="center"/>
    </x:xf>
    <x:xf numFmtId="164" fontId="20" fillId="33" borderId="21" xfId="0" applyAlignment="1">
      <x:alignment vertical="center"/>
    </x:xf>
    <x:xf numFmtId="2" fontId="20" fillId="33" borderId="21" xfId="0" applyAlignment="1">
      <x:alignment vertical="center"/>
    </x:xf>
    <x:xf numFmtId="0" fontId="30" fillId="35" borderId="1" xfId="22" applyAlignment="1">
      <x:alignment horizontal="center"/>
    </x:xf>
    <x:xf numFmtId="0" fontId="30" fillId="35" borderId="2" xfId="22" applyAlignment="1">
      <x:alignment horizontal="center"/>
    </x:xf>
    <x:xf numFmtId="0" fontId="30" fillId="35" borderId="0" xfId="22" applyAlignment="1">
      <x:alignment horizontal="center"/>
    </x:xf>
    <x:xf numFmtId="2" fontId="29" fillId="3" borderId="0" xfId="0" applyAlignment="1">
      <x:alignment horizontal="left" vertical="center"/>
    </x:xf>
    <x:xf numFmtId="2" fontId="31" fillId="3" borderId="0" xfId="0" applyAlignment="1">
      <x:alignment horizontal="center" vertical="center"/>
    </x:xf>
    <x:xf numFmtId="2" fontId="29" fillId="3" borderId="0" xfId="0" applyAlignment="1">
      <x:alignment vertical="top"/>
    </x:xf>
    <x:xf numFmtId="2" fontId="31" fillId="3" borderId="0" xfId="0" applyAlignment="1">
      <x:alignment horizontal="center"/>
    </x:xf>
    <x:xf numFmtId="1" fontId="31" fillId="3" borderId="0" xfId="0" applyAlignment="1">
      <x:alignment horizontal="center"/>
    </x:xf>
    <x:xf numFmtId="2" fontId="31" fillId="0" borderId="0" xfId="0" applyAlignment="1">
      <x:alignment horizontal="center" vertical="center"/>
    </x:xf>
    <x:xf numFmtId="2" fontId="29" fillId="0" borderId="0" xfId="0" applyAlignment="1">
      <x:alignment vertical="top"/>
    </x:xf>
    <x:xf numFmtId="2" fontId="31" fillId="0" borderId="0" xfId="0" applyAlignment="1">
      <x:alignment horizontal="center"/>
    </x:xf>
    <x:xf numFmtId="2" fontId="30" fillId="35" borderId="25" xfId="0" applyAlignment="1">
      <x:alignment horizontal="center"/>
    </x:xf>
    <x:xf numFmtId="0" fontId="25" fillId="35" borderId="25" xfId="0" applyAlignment="1">
      <x:alignment horizontal="center" vertical="center"/>
    </x:xf>
    <x:xf numFmtId="0" fontId="26" fillId="0" borderId="26" xfId="0" applyAlignment="1">
      <x:alignment horizontal="left" vertical="center"/>
    </x:xf>
    <x:xf numFmtId="2" fontId="30" fillId="35" borderId="25" xfId="22" applyAlignment="1">
      <x:alignment horizontal="center" vertical="center"/>
    </x:xf>
    <x:xf numFmtId="2" fontId="29" fillId="0" borderId="25" xfId="0" applyAlignment="1">
      <x:alignment horizontal="center"/>
    </x:xf>
    <x:xf numFmtId="2" fontId="31" fillId="0" borderId="25" xfId="0" applyAlignment="1">
      <x:alignment horizontal="center"/>
    </x:xf>
    <x:xf numFmtId="2" fontId="32" fillId="36" borderId="25" xfId="0" applyAlignment="1">
      <x:alignment horizontal="center" vertical="center" wrapText="1"/>
    </x:xf>
    <x:xf numFmtId="9" fontId="32" fillId="36" borderId="25" xfId="19" applyAlignment="1">
      <x:alignment horizontal="center" vertical="center" wrapText="1"/>
    </x:xf>
    <x:xf numFmtId="0" fontId="32" fillId="36" borderId="25" xfId="0" applyAlignment="1">
      <x:alignment horizontal="center" vertical="center" wrapText="1"/>
    </x:xf>
    <x:xf numFmtId="0" fontId="26" fillId="36" borderId="25" xfId="0" applyAlignment="1">
      <x:alignment horizontal="left" vertical="center" wrapText="1"/>
    </x:xf>
    <x:xf numFmtId="2" fontId="33" fillId="0" borderId="25" xfId="0" applyAlignment="1">
      <x:alignment horizontal="left" vertical="center"/>
    </x:xf>
    <x:xf numFmtId="168" fontId="34" fillId="0" borderId="25" xfId="19" applyAlignment="1">
      <x:alignment horizontal="center" vertical="center"/>
    </x:xf>
    <x:xf numFmtId="0" fontId="34" fillId="0" borderId="25" xfId="0" applyAlignment="1">
      <x:alignment horizontal="center" vertical="center"/>
    </x:xf>
    <x:xf numFmtId="0" fontId="33" fillId="0" borderId="25" xfId="0" applyAlignment="1">
      <x:alignment horizontal="center" vertical="center"/>
    </x:xf>
    <x:xf numFmtId="0" fontId="31" fillId="36" borderId="25" xfId="0" applyAlignment="1">
      <x:alignment horizontal="left" vertical="center" wrapText="1"/>
    </x:xf>
    <x:xf numFmtId="2" fontId="26" fillId="0" borderId="26" xfId="0" applyAlignment="1">
      <x:alignment horizontal="left" vertical="center"/>
    </x:xf>
    <x:xf numFmtId="9" fontId="26" fillId="0" borderId="26" xfId="19" applyAlignment="1">
      <x:alignment horizontal="left" vertical="center"/>
    </x:xf>
    <x:xf numFmtId="0" fontId="24" fillId="35" borderId="0" xfId="0" applyAlignment="1">
      <x:alignment horizontal="center" vertical="center"/>
    </x:xf>
    <x:xf numFmtId="0" fontId="25" fillId="35" borderId="25" xfId="0" applyAlignment="1">
      <x:alignment horizontal="center" vertical="center" wrapText="1"/>
    </x:xf>
    <x:xf numFmtId="0" fontId="26" fillId="0" borderId="25" xfId="0" applyAlignment="1">
      <x:alignment horizontal="left" vertical="center"/>
    </x:xf>
    <x:xf numFmtId="0" fontId="26" fillId="0" borderId="25" xfId="0" applyAlignment="1">
      <x:alignment horizontal="center" vertical="center"/>
    </x:xf>
    <x:xf numFmtId="164" fontId="26" fillId="0" borderId="25" xfId="0" applyAlignment="1">
      <x:alignment horizontal="center" vertical="center"/>
    </x:xf>
    <x:xf numFmtId="0" fontId="26" fillId="36" borderId="25" xfId="0" applyAlignment="1">
      <x:alignment horizontal="center" vertical="center"/>
    </x:xf>
    <x:xf numFmtId="9" fontId="26" fillId="36" borderId="25" xfId="0" applyAlignment="1">
      <x:alignment horizontal="center" vertical="center"/>
    </x:xf>
    <x:xf numFmtId="0" fontId="27" fillId="36" borderId="25" xfId="0" applyAlignment="1">
      <x:alignment horizontal="center" vertical="center"/>
    </x:xf>
    <x:xf numFmtId="0" fontId="0" fillId="0" borderId="25" xfId="0"/>
    <x:xf numFmtId="0" fontId="0" fillId="36" borderId="25" xfId="0"/>
    <x:xf numFmtId="0" fontId="25" fillId="35" borderId="25" xfId="0" applyAlignment="1">
      <x:alignment horizontal="left" vertical="center"/>
    </x:xf>
    <x:xf numFmtId="0" fontId="28" fillId="36" borderId="25" xfId="0" applyAlignment="1">
      <x:alignment horizontal="center" vertical="center"/>
    </x:xf>
    <x:xf numFmtId="164" fontId="28" fillId="36" borderId="25" xfId="0" applyAlignment="1">
      <x:alignment horizontal="center" vertical="center"/>
    </x:xf>
    <x:xf numFmtId="9" fontId="28" fillId="36" borderId="25" xfId="0" applyAlignment="1">
      <x:alignment horizontal="center" vertical="center"/>
    </x:xf>
  </x:cellXfs>
  <x:cellStyles count="50">
    <x:cellStyle name="Normal" xfId="0"/>
    <x:cellStyle name="Title" xfId="1"/>
    <x:cellStyle name="Heading 1" xfId="2"/>
    <x:cellStyle name="Heading 2" xfId="3"/>
    <x:cellStyle name="Heading 3" xfId="4"/>
    <x:cellStyle name="Heading 4" xfId="5"/>
    <x:cellStyle name="Bad" xfId="6"/>
    <x:cellStyle name="Total" xfId="7"/>
    <x:cellStyle name="Good" xfId="8"/>
    <x:cellStyle name="Neutral" xfId="9"/>
    <x:cellStyle name="Input" xfId="10"/>
    <x:cellStyle name="Calculation" xfId="11"/>
    <x:cellStyle name="Linked Cell" xfId="12"/>
    <x:cellStyle name="Note" xfId="13"/>
    <x:cellStyle name="Warning Text" xfId="14"/>
    <x:cellStyle name="Comma" xfId="15"/>
    <x:cellStyle name="Comma [0]" xfId="16"/>
    <x:cellStyle name="Currency" xfId="17"/>
    <x:cellStyle name="Currency [0]" xfId="18"/>
    <x:cellStyle name="Per cent" xfId="19"/>
    <x:cellStyle name="Check Cell" xfId="20"/>
    <x:cellStyle name="Explanatory Text" xfId="21"/>
    <x:cellStyle name="Accent1" xfId="22"/>
    <x:cellStyle name="20% - Accent1" xfId="23"/>
    <x:cellStyle name="40% - Accent1" xfId="24"/>
    <x:cellStyle name="60% - Accent1" xfId="25"/>
    <x:cellStyle name="Accent2" xfId="26"/>
    <x:cellStyle name="20% - Accent2" xfId="27"/>
    <x:cellStyle name="40% - Accent2" xfId="28"/>
    <x:cellStyle name="60% - Accent2" xfId="29"/>
    <x:cellStyle name="Accent3" xfId="30"/>
    <x:cellStyle name="20% - Accent3" xfId="31"/>
    <x:cellStyle name="40% - Accent3" xfId="32"/>
    <x:cellStyle name="60% - Accent3" xfId="33"/>
    <x:cellStyle name="Accent4" xfId="34"/>
    <x:cellStyle name="20% - Accent4" xfId="35"/>
    <x:cellStyle name="40% - Accent4" xfId="36"/>
    <x:cellStyle name="60% - Accent4" xfId="37"/>
    <x:cellStyle name="Accent5" xfId="38"/>
    <x:cellStyle name="20% - Accent5" xfId="39"/>
    <x:cellStyle name="40% - Accent5" xfId="40"/>
    <x:cellStyle name="60% - Accent5" xfId="41"/>
    <x:cellStyle name="Accent6" xfId="42"/>
    <x:cellStyle name="20% - Accent6" xfId="43"/>
    <x:cellStyle name="40% - Accent6" xfId="44"/>
    <x:cellStyle name="60% - Accent6" xfId="45"/>
    <x:cellStyle name="Normal 2" xfId="46"/>
    <x:cellStyle name="Percent 2" xfId="47"/>
    <x:cellStyle name="Hyperlink" xfId="48"/>
    <x:cellStyle name="Normal_Document Control Sheet1" xfId="49"/>
  </x:cellStyles>
  <x:dxfs count="3">
    <x:dxf>
      <x:fill>
        <x:patternFill>
          <x:bgColor rgb="00FDE7EA"/>
        </x:patternFill>
      </x:fill>
    </x:dxf>
    <x:dxf>
      <x:fill>
        <x:patternFill>
          <x:bgColor rgb="00FFF4DB"/>
        </x:patternFill>
      </x:fill>
    </x:dxf>
    <x:dxf>
      <x:fill>
        <x:patternFill>
          <x:bgColor rgb="00E7F6E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eca904f6e2048c9" /><Relationship Type="http://schemas.openxmlformats.org/officeDocument/2006/relationships/theme" Target="/xl/theme/theme1.xml" Id="R5c49783c7072421d" /><Relationship Type="http://schemas.openxmlformats.org/officeDocument/2006/relationships/sharedStrings" Target="/xl/sharedStrings.xml" Id="Rc353e7a184a6435a" /><Relationship Type="http://schemas.openxmlformats.org/officeDocument/2006/relationships/worksheet" Target="/xl/worksheets/sheet1.xml" Id="R65b3a808ddb94540" /><Relationship Type="http://schemas.openxmlformats.org/officeDocument/2006/relationships/worksheet" Target="/xl/worksheets/sheet2.xml" Id="R6f2b436cf88e464e" /><Relationship Type="http://schemas.openxmlformats.org/officeDocument/2006/relationships/worksheet" Target="/xl/worksheets/sheet3.xml" Id="R3bbd81ab38b1489a" /><Relationship Type="http://schemas.openxmlformats.org/officeDocument/2006/relationships/worksheet" Target="/xl/worksheets/sheet4.xml" Id="R7c6ee0d0e51245eb" /></Relationships>
</file>

<file path=xl/drawings/_rels/drawing1.xml.rels>&#65279;<?xml version="1.0" encoding="utf-8"?><Relationships xmlns="http://schemas.openxmlformats.org/package/2006/relationships"><Relationship Type="http://schemas.openxmlformats.org/officeDocument/2006/relationships/chart" Target="/xl/drawings/charts/chart1.xml" Id="R9fdf145a39ce4e31" /><Relationship Type="http://schemas.openxmlformats.org/officeDocument/2006/relationships/chart" Target="/xl/drawings/charts/chart2.xml" Id="Rf239446ec15d4bfa" /><Relationship Type="http://schemas.openxmlformats.org/officeDocument/2006/relationships/chart" Target="/xl/drawings/charts/chart3.xml" Id="R4ddf661cbe284898" /><Relationship Type="http://schemas.openxmlformats.org/officeDocument/2006/relationships/chart" Target="/xl/drawings/charts/chart4.xml" Id="Re164b0eec0844a61" /><Relationship Type="http://schemas.openxmlformats.org/officeDocument/2006/relationships/chart" Target="/xl/drawings/charts/chart5.xml" Id="R89d7ee95b03746bd" /></Relationships>
</file>

<file path=xl/drawings/charts/chart1.xml><?xml version="1.0" encoding="utf-8"?>
<c:chartSpace xmlns:c="http://schemas.openxmlformats.org/drawingml/2006/chart">
  <c:lang val="en-US"/>
  <c:chart>
    <c:title>
      <c:tx>
        <c:rich>
          <a:bodyPr xmlns:a="http://schemas.openxmlformats.org/drawingml/2006/main"/>
          <a:lstStyle xmlns:a="http://schemas.openxmlformats.org/drawingml/2006/main"/>
          <a:p xmlns:a="http://schemas.openxmlformats.org/drawingml/2006/main">
            <a:r>
              <a:rPr sz="1400" b="0" i="0" spc="0">
                <a:solidFill>
                  <a:schemeClr val="tx1"/>
                </a:solidFill>
                <a:latin typeface="+mn-lt"/>
                <a:ea typeface="+mn-lt"/>
                <a:cs typeface="+mn-lt"/>
              </a:rPr>
              <a:t>Title</a:t>
            </a:r>
          </a:p>
        </c:rich>
      </c:tx>
      <c:overlay val="0"/>
      <c:txPr>
        <a:bodyPr xmlns:a="http://schemas.openxmlformats.org/drawingml/2006/main" rot="0" vert="horz" anchor="ctr" anchorCtr="1"/>
        <a:lstStyle xmlns:a="http://schemas.openxmlformats.org/drawingml/2006/main"/>
        <a:p xmlns:a="http://schemas.openxmlformats.org/drawingml/2006/main">
          <a:pPr>
            <a:defRPr sz="1400" b="0" i="0" spc="0">
              <a:solidFill>
                <a:schemeClr val="tx1"/>
              </a:solidFill>
              <a:latin typeface="+mn-lt"/>
              <a:ea typeface="+mn-lt"/>
              <a:cs typeface="+mn-lt"/>
            </a:defRPr>
          </a:pPr>
        </a:p>
      </c:txPr>
    </c:title>
    <c:autoTitleDeleted val="0"/>
    <c:plotArea>
      <c:layout/>
      <c:barChart>
        <c:barDir val="col"/>
        <c:grouping val="clustered"/>
        <c:varyColors val="0"/>
        <c:ser>
          <c:idx val="0"/>
          <c:order val="0"/>
          <c:tx>
            <c:strRef>
              <c:f>CGI!$B$1</c:f>
              <c:strCache>
                <c:ptCount val="1"/>
                <c:pt idx="0">
                  <c:v>Series 1</c:v>
                </c:pt>
              </c:strCache>
            </c:strRef>
          </c:tx>
          <c:spPr>
            <a:solidFill xmlns:a="http://schemas.openxmlformats.org/drawingml/2006/main">
              <a:schemeClr val="tx2"/>
            </a:solidFill>
            <a:ln xmlns:a="http://schemas.openxmlformats.org/drawingml/2006/main">
              <a:noFill/>
              <a:prstDash val="solid"/>
            </a:ln>
          </c:spPr>
          <c:invertIfNegative val="0"/>
          <c:cat>
            <c:strRef>
              <c:f>CGI!$A$2:$A$4</c:f>
              <c:strCache>
                <c:ptCount val="3"/>
                <c:pt idx="0">
                  <c:v>Category 1</c:v>
                </c:pt>
                <c:pt idx="1">
                  <c:v>Category 2</c:v>
                </c:pt>
                <c:pt idx="2">
                  <c:v>Category 3</c:v>
                </c:pt>
              </c:strCache>
            </c:strRef>
          </c:cat>
          <c:val>
            <c:numRef>
              <c:f>CGI!$B$2:$B$4</c:f>
              <c:numCache>
                <c:formatCode>0.00</c:formatCode>
                <c:ptCount val="3"/>
                <c:pt idx="0">
                  <c:v>46</c:v>
                </c:pt>
                <c:pt idx="1">
                  <c:v>48</c:v>
                </c:pt>
                <c:pt idx="2">
                  <c:v>69</c:v>
                </c:pt>
              </c:numCache>
            </c:numRef>
          </c:val>
        </c:ser>
        <c:ser>
          <c:idx val="1"/>
          <c:order val="1"/>
          <c:tx>
            <c:strRef>
              <c:f>CGI!$C$1</c:f>
              <c:strCache>
                <c:ptCount val="1"/>
                <c:pt idx="0">
                  <c:v>Series 2</c:v>
                </c:pt>
              </c:strCache>
            </c:strRef>
          </c:tx>
          <c:spPr>
            <a:solidFill xmlns:a="http://schemas.openxmlformats.org/drawingml/2006/main">
              <a:schemeClr val="accent1"/>
            </a:solidFill>
            <a:ln xmlns:a="http://schemas.openxmlformats.org/drawingml/2006/main">
              <a:noFill/>
              <a:prstDash val="solid"/>
            </a:ln>
          </c:spPr>
          <c:invertIfNegative val="0"/>
          <c:cat>
            <c:strRef>
              <c:f>CGI!$A$2:$A$4</c:f>
              <c:strCache>
                <c:ptCount val="3"/>
                <c:pt idx="0">
                  <c:v>Category 1</c:v>
                </c:pt>
                <c:pt idx="1">
                  <c:v>Category 2</c:v>
                </c:pt>
                <c:pt idx="2">
                  <c:v>Category 3</c:v>
                </c:pt>
              </c:strCache>
            </c:strRef>
          </c:cat>
          <c:val>
            <c:numRef>
              <c:f>CGI!$C$2:$C$4</c:f>
              <c:numCache>
                <c:formatCode>0.00</c:formatCode>
                <c:ptCount val="3"/>
                <c:pt idx="0">
                  <c:v>68</c:v>
                </c:pt>
                <c:pt idx="1">
                  <c:v>62</c:v>
                </c:pt>
                <c:pt idx="2">
                  <c:v>82</c:v>
                </c:pt>
              </c:numCache>
            </c:numRef>
          </c:val>
        </c:ser>
        <c:ser>
          <c:idx val="2"/>
          <c:order val="2"/>
          <c:tx>
            <c:strRef>
              <c:f>CGI!$D$1</c:f>
              <c:strCache>
                <c:ptCount val="1"/>
                <c:pt idx="0">
                  <c:v>Series 3</c:v>
                </c:pt>
              </c:strCache>
            </c:strRef>
          </c:tx>
          <c:spPr>
            <a:solidFill xmlns:a="http://schemas.openxmlformats.org/drawingml/2006/main">
              <a:schemeClr val="accent3"/>
            </a:solidFill>
            <a:ln xmlns:a="http://schemas.openxmlformats.org/drawingml/2006/main">
              <a:noFill/>
              <a:prstDash val="solid"/>
            </a:ln>
          </c:spPr>
          <c:invertIfNegative val="0"/>
          <c:cat>
            <c:strRef>
              <c:f>CGI!$A$2:$A$4</c:f>
              <c:strCache>
                <c:ptCount val="3"/>
                <c:pt idx="0">
                  <c:v>Category 1</c:v>
                </c:pt>
                <c:pt idx="1">
                  <c:v>Category 2</c:v>
                </c:pt>
                <c:pt idx="2">
                  <c:v>Category 3</c:v>
                </c:pt>
              </c:strCache>
            </c:strRef>
          </c:cat>
          <c:val>
            <c:numRef>
              <c:f>CGI!$D$2:$D$4</c:f>
              <c:numCache>
                <c:formatCode>0.00</c:formatCode>
                <c:ptCount val="3"/>
                <c:pt idx="0">
                  <c:v>90</c:v>
                </c:pt>
                <c:pt idx="1">
                  <c:v>76</c:v>
                </c:pt>
                <c:pt idx="2">
                  <c:v>95</c:v>
                </c:pt>
              </c:numCache>
            </c:numRef>
          </c:val>
        </c:ser>
        <c:ser>
          <c:idx val="3"/>
          <c:order val="3"/>
          <c:tx>
            <c:strRef>
              <c:f>CGI!$E$1</c:f>
              <c:strCache>
                <c:ptCount val="1"/>
                <c:pt idx="0">
                  <c:v>Series 4</c:v>
                </c:pt>
              </c:strCache>
            </c:strRef>
          </c:tx>
          <c:spPr>
            <a:solidFill xmlns:a="http://schemas.openxmlformats.org/drawingml/2006/main">
              <a:schemeClr val="accent5"/>
            </a:solidFill>
            <a:ln xmlns:a="http://schemas.openxmlformats.org/drawingml/2006/main">
              <a:noFill/>
              <a:prstDash val="solid"/>
            </a:ln>
          </c:spPr>
          <c:invertIfNegative val="0"/>
          <c:cat>
            <c:strRef>
              <c:f>CGI!$A$2:$A$4</c:f>
              <c:strCache>
                <c:ptCount val="3"/>
                <c:pt idx="0">
                  <c:v>Category 1</c:v>
                </c:pt>
                <c:pt idx="1">
                  <c:v>Category 2</c:v>
                </c:pt>
                <c:pt idx="2">
                  <c:v>Category 3</c:v>
                </c:pt>
              </c:strCache>
            </c:strRef>
          </c:cat>
          <c:val>
            <c:numRef>
              <c:f>CGI!$E$2:$E$4</c:f>
              <c:numCache>
                <c:formatCode>0.00</c:formatCode>
                <c:ptCount val="3"/>
                <c:pt idx="0">
                  <c:v>112</c:v>
                </c:pt>
                <c:pt idx="1">
                  <c:v>90</c:v>
                </c:pt>
                <c:pt idx="2">
                  <c:v>108</c:v>
                </c:pt>
              </c:numCache>
            </c:numRef>
          </c:val>
        </c:ser>
        <c:ser>
          <c:idx val="4"/>
          <c:order val="4"/>
          <c:tx>
            <c:strRef>
              <c:f>CGI!$F$1</c:f>
              <c:strCache>
                <c:ptCount val="1"/>
                <c:pt idx="0">
                  <c:v>Series 5</c:v>
                </c:pt>
              </c:strCache>
            </c:strRef>
          </c:tx>
          <c:spPr>
            <a:solidFill xmlns:a="http://schemas.openxmlformats.org/drawingml/2006/main">
              <a:schemeClr val="accent4"/>
            </a:solidFill>
            <a:ln xmlns:a="http://schemas.openxmlformats.org/drawingml/2006/main">
              <a:noFill/>
              <a:prstDash val="solid"/>
            </a:ln>
          </c:spPr>
          <c:invertIfNegative val="0"/>
          <c:cat>
            <c:strRef>
              <c:f>CGI!$A$2:$A$4</c:f>
              <c:strCache>
                <c:ptCount val="3"/>
                <c:pt idx="0">
                  <c:v>Category 1</c:v>
                </c:pt>
                <c:pt idx="1">
                  <c:v>Category 2</c:v>
                </c:pt>
                <c:pt idx="2">
                  <c:v>Category 3</c:v>
                </c:pt>
              </c:strCache>
            </c:strRef>
          </c:cat>
          <c:val>
            <c:numRef>
              <c:f>CGI!$F$2:$F$4</c:f>
              <c:numCache>
                <c:formatCode>0.00</c:formatCode>
                <c:ptCount val="3"/>
                <c:pt idx="0">
                  <c:v>124</c:v>
                </c:pt>
                <c:pt idx="1">
                  <c:v>112</c:v>
                </c:pt>
                <c:pt idx="2">
                  <c:v>128</c:v>
                </c:pt>
              </c:numCache>
            </c:numRef>
          </c:val>
        </c:ser>
        <c:dLbls>
          <c:showLegendKey val="0"/>
          <c:showVal val="0"/>
          <c:showCatName val="0"/>
          <c:showSerName val="0"/>
          <c:showPercent val="0"/>
          <c:showBubbleSize val="0"/>
        </c:dLbls>
        <c:gapWidth val="219"/>
        <c:overlap val="-27"/>
        <c:axId val="48650112"/>
        <c:axId val="48672768"/>
      </c:barChart>
      <c:catAx>
        <c:axId val="48650112"/>
        <c:scaling>
          <c:orientation val="minMax"/>
        </c:scaling>
        <c:delete val="0"/>
        <c:axPos val="b"/>
        <c:numFmt formatCode="General" sourceLinked="1"/>
        <c:majorTickMark val="none"/>
        <c:minorTickMark val="none"/>
        <c:tickLblPos val="nextTo"/>
        <c:spPr>
          <a:ln xmlns:a="http://schemas.openxmlformats.org/drawingml/2006/main" w="9525" cmpd="sng">
            <a:solidFill>
              <a:schemeClr val="tx1">
                <a:lumMod val="15000"/>
                <a:lumOff val="85000"/>
              </a:schemeClr>
            </a:solidFill>
            <a:prstDash val="solid"/>
          </a:ln>
        </c:spPr>
        <c:txPr>
          <a:bodyPr xmlns:a="http://schemas.openxmlformats.org/drawingml/2006/main" rot="-60000000" vert="horz" anchor="ctr" anchorCtr="1"/>
          <a:lstStyle xmlns:a="http://schemas.openxmlformats.org/drawingml/2006/main"/>
          <a:p xmlns:a="http://schemas.openxmlformats.org/drawingml/2006/main">
            <a:pPr>
              <a:defRPr sz="900" b="0" i="0">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0"/>
        <c:axPos val="l"/>
        <c:majorGridlines>
          <c:spPr>
            <a:ln xmlns:a="http://schemas.openxmlformats.org/drawingml/2006/main" w="9525" cmpd="sng">
              <a:solidFill>
                <a:schemeClr val="tx1">
                  <a:lumMod val="15000"/>
                  <a:lumOff val="85000"/>
                </a:schemeClr>
              </a:solidFill>
              <a:prstDash val="solid"/>
            </a:ln>
          </c:spPr>
        </c:majorGridlines>
        <c:numFmt formatCode="0.00" sourceLinked="1"/>
        <c:majorTickMark val="none"/>
        <c:minorTickMark val="none"/>
        <c:tickLblPos val="nextTo"/>
        <c:spPr>
          <a:ln xmlns:a="http://schemas.openxmlformats.org/drawingml/2006/main">
            <a:noFill/>
            <a:prstDash val="solid"/>
          </a:ln>
        </c:spPr>
        <c:txPr>
          <a:bodyPr xmlns:a="http://schemas.openxmlformats.org/drawingml/2006/main" rot="-60000000" vert="horz" anchor="ctr" anchorCtr="1"/>
          <a:lstStyle xmlns:a="http://schemas.openxmlformats.org/drawingml/2006/main"/>
          <a:p xmlns:a="http://schemas.openxmlformats.org/drawingml/2006/main">
            <a:pPr>
              <a:defRPr sz="900" b="0" i="0">
                <a:solidFill>
                  <a:schemeClr val="tx1"/>
                </a:solidFill>
                <a:latin typeface="+mn-lt"/>
                <a:ea typeface="+mn-lt"/>
                <a:cs typeface="+mn-lt"/>
              </a:defRPr>
            </a:pPr>
          </a:p>
        </c:txPr>
        <c:crossAx val="48650112"/>
        <c:crosses val="autoZero"/>
        <c:crossBetween val="between"/>
      </c:valAx>
    </c:plotArea>
    <c:legend>
      <c:legendPos val="b"/>
      <c:overlay val="0"/>
      <c:spPr>
        <a:noFill xmlns:a="http://schemas.openxmlformats.org/drawingml/2006/main"/>
        <a:ln xmlns:a="http://schemas.openxmlformats.org/drawingml/2006/main">
          <a:noFill/>
          <a:prstDash val="solid"/>
        </a:ln>
      </c:spPr>
      <c:txPr>
        <a:bodyPr xmlns:a="http://schemas.openxmlformats.org/drawingml/2006/main" rot="0" vert="horz" anchor="ctr" anchorCtr="1"/>
        <a:lstStyle xmlns:a="http://schemas.openxmlformats.org/drawingml/2006/main"/>
        <a:p xmlns:a="http://schemas.openxmlformats.org/drawingml/2006/main">
          <a:pPr>
            <a:defRPr sz="900" b="0" i="0">
              <a:solidFill>
                <a:schemeClr val="tx1"/>
              </a:solidFill>
              <a:latin typeface="+mn-lt"/>
              <a:ea typeface="+mn-lt"/>
              <a:cs typeface="+mn-lt"/>
            </a:defRPr>
          </a:pPr>
        </a:p>
      </c:txPr>
    </c:legend>
    <c:plotVisOnly val="1"/>
    <c:dispBlanksAs val="gap"/>
  </c:chart>
  <c:spPr>
    <a:solidFill xmlns:a="http://schemas.openxmlformats.org/drawingml/2006/main">
      <a:schemeClr val="bg1"/>
    </a:solidFill>
    <a:ln xmlns:a="http://schemas.openxmlformats.org/drawingml/2006/main" w="9525" cmpd="sng">
      <a:solidFill>
        <a:schemeClr val="tx1">
          <a:lumMod val="15000"/>
          <a:lumOff val="85000"/>
        </a:schemeClr>
      </a:solidFill>
      <a:prstDash val="solid"/>
    </a:ln>
  </c:spPr>
</c:chartSpace>
</file>

<file path=xl/drawings/charts/chart2.xml><?xml version="1.0" encoding="utf-8"?>
<c:chartSpace xmlns:c="http://schemas.openxmlformats.org/drawingml/2006/chart">
  <c:lang val="en-US"/>
  <c:chart>
    <c:title>
      <c:tx>
        <c:rich>
          <a:bodyPr xmlns:a="http://schemas.openxmlformats.org/drawingml/2006/main"/>
          <a:lstStyle xmlns:a="http://schemas.openxmlformats.org/drawingml/2006/main"/>
          <a:p xmlns:a="http://schemas.openxmlformats.org/drawingml/2006/main">
            <a:r>
              <a:rPr sz="1400" b="0" i="0" spc="0">
                <a:solidFill>
                  <a:schemeClr val="tx1"/>
                </a:solidFill>
                <a:latin typeface="+mn-lt"/>
                <a:ea typeface="+mn-lt"/>
                <a:cs typeface="+mn-lt"/>
              </a:rPr>
              <a:t>Title</a:t>
            </a:r>
          </a:p>
        </c:rich>
      </c:tx>
      <c:overlay val="0"/>
      <c:txPr>
        <a:bodyPr xmlns:a="http://schemas.openxmlformats.org/drawingml/2006/main" rot="0" vert="horz" anchor="ctr" anchorCtr="1"/>
        <a:lstStyle xmlns:a="http://schemas.openxmlformats.org/drawingml/2006/main"/>
        <a:p xmlns:a="http://schemas.openxmlformats.org/drawingml/2006/main">
          <a:pPr>
            <a:defRPr sz="1400" b="0" i="0" spc="0">
              <a:solidFill>
                <a:schemeClr val="tx1"/>
              </a:solidFill>
              <a:latin typeface="+mn-lt"/>
              <a:ea typeface="+mn-lt"/>
              <a:cs typeface="+mn-lt"/>
            </a:defRPr>
          </a:pPr>
        </a:p>
      </c:txPr>
    </c:title>
    <c:autoTitleDeleted val="0"/>
    <c:plotArea>
      <c:layout/>
      <c:pieChart>
        <c:varyColors val="1"/>
        <c:ser>
          <c:idx val="0"/>
          <c:order val="0"/>
          <c:tx>
            <c:strRef>
              <c:f>CGI!$A$22</c:f>
              <c:strCache>
                <c:ptCount val="1"/>
                <c:pt idx="0">
                  <c:v>Text</c:v>
                </c:pt>
              </c:strCache>
            </c:strRef>
          </c:tx>
          <c:spPr>
            <a:ln xmlns:a="http://schemas.openxmlformats.org/drawingml/2006/main">
              <a:prstDash val="solid"/>
            </a:ln>
          </c:spPr>
          <c:dPt>
            <c:idx val="0"/>
            <c:spPr>
              <a:solidFill xmlns:a="http://schemas.openxmlformats.org/drawingml/2006/main">
                <a:schemeClr val="tx2"/>
              </a:solidFill>
              <a:ln xmlns:a="http://schemas.openxmlformats.org/drawingml/2006/main" w="19050">
                <a:solidFill>
                  <a:schemeClr val="lt1"/>
                </a:solidFill>
                <a:prstDash val="solid"/>
              </a:ln>
            </c:spPr>
          </c:dPt>
          <c:dPt>
            <c:idx val="1"/>
            <c:spPr>
              <a:solidFill xmlns:a="http://schemas.openxmlformats.org/drawingml/2006/main">
                <a:srgbClr val="6E3FED"/>
              </a:solidFill>
              <a:ln xmlns:a="http://schemas.openxmlformats.org/drawingml/2006/main" w="19050">
                <a:solidFill>
                  <a:schemeClr val="lt1"/>
                </a:solidFill>
                <a:prstDash val="solid"/>
              </a:ln>
            </c:spPr>
          </c:dPt>
          <c:dPt>
            <c:idx val="2"/>
            <c:spPr>
              <a:solidFill xmlns:a="http://schemas.openxmlformats.org/drawingml/2006/main">
                <a:schemeClr val="accent5"/>
              </a:solidFill>
              <a:ln xmlns:a="http://schemas.openxmlformats.org/drawingml/2006/main" w="19050">
                <a:solidFill>
                  <a:schemeClr val="lt1"/>
                </a:solidFill>
                <a:prstDash val="solid"/>
              </a:ln>
            </c:spPr>
          </c:dPt>
          <c:dPt>
            <c:idx val="3"/>
            <c:spPr>
              <a:solidFill xmlns:a="http://schemas.openxmlformats.org/drawingml/2006/main">
                <a:schemeClr val="accent4"/>
              </a:solidFill>
              <a:ln xmlns:a="http://schemas.openxmlformats.org/drawingml/2006/main" w="19050">
                <a:solidFill>
                  <a:schemeClr val="lt1"/>
                </a:solidFill>
                <a:prstDash val="solid"/>
              </a:ln>
            </c:spPr>
          </c:dPt>
          <c:dLbls>
            <c:spPr>
              <a:noFill xmlns:a="http://schemas.openxmlformats.org/drawingml/2006/main"/>
              <a:ln xmlns:a="http://schemas.openxmlformats.org/drawingml/2006/main">
                <a:noFill/>
                <a:prstDash val="solid"/>
              </a:ln>
            </c:spPr>
            <c:txPr>
              <a:bodyPr xmlns:a="http://schemas.openxmlformats.org/drawingml/2006/main" anchorCtr="1"/>
              <a:lstStyle xmlns:a="http://schemas.openxmlformats.org/drawingml/2006/main"/>
              <a:p xmlns:a="http://schemas.openxmlformats.org/drawingml/2006/main">
                <a:pPr>
                  <a:defRPr sz="700" b="1" i="0">
                    <a:solidFill>
                      <a:schemeClr val="bg1"/>
                    </a:solidFill>
                    <a:latin typeface="+mn-lt"/>
                    <a:ea typeface="+mn-lt"/>
                    <a:cs typeface="+mn-lt"/>
                  </a:defRPr>
                </a:pPr>
              </a:p>
            </c:txPr>
            <c:dLblPos val="ctr"/>
            <c:showLegendKey val="0"/>
            <c:showVal val="0"/>
            <c:showCatName val="1"/>
            <c:showSerName val="0"/>
            <c:showPercent val="0"/>
            <c:showBubbleSize val="0"/>
            <c:showLeaderLines val="1"/>
          </c:dLbls>
          <c:cat>
            <c:strRef>
              <c:f>CGI!$B$21:$E$21</c:f>
              <c:strCache>
                <c:ptCount val="4"/>
                <c:pt idx="0">
                  <c:v>A</c:v>
                </c:pt>
                <c:pt idx="1">
                  <c:v>B</c:v>
                </c:pt>
                <c:pt idx="2">
                  <c:v>C</c:v>
                </c:pt>
                <c:pt idx="3">
                  <c:v>D</c:v>
                </c:pt>
              </c:strCache>
            </c:strRef>
          </c:cat>
          <c:val>
            <c:numRef>
              <c:f>CGI!$B$22:$E$22</c:f>
              <c:numCache>
                <c:formatCode>0.00</c:formatCode>
                <c:ptCount val="4"/>
                <c:pt idx="0">
                  <c:v>46</c:v>
                </c:pt>
                <c:pt idx="1">
                  <c:v>68</c:v>
                </c:pt>
                <c:pt idx="2">
                  <c:v>90</c:v>
                </c:pt>
                <c:pt idx="3">
                  <c:v>112</c:v>
                </c:pt>
              </c:numCache>
            </c:numRef>
          </c:val>
        </c:ser>
        <c:dLbls>
          <c:showLegendKey val="0"/>
          <c:showVal val="0"/>
          <c:showCatName val="0"/>
          <c:showSerName val="0"/>
          <c:showPercent val="0"/>
          <c:showBubbleSize val="0"/>
          <c:showLeaderLines val="1"/>
        </c:dLbls>
        <c:firstSliceAng val="0"/>
      </c:pieChart>
    </c:plotArea>
    <c:legend>
      <c:legendPos val="b"/>
      <c:overlay val="0"/>
      <c:spPr>
        <a:noFill xmlns:a="http://schemas.openxmlformats.org/drawingml/2006/main"/>
        <a:ln xmlns:a="http://schemas.openxmlformats.org/drawingml/2006/main">
          <a:noFill/>
          <a:prstDash val="solid"/>
        </a:ln>
      </c:spPr>
      <c:txPr>
        <a:bodyPr xmlns:a="http://schemas.openxmlformats.org/drawingml/2006/main" rot="0" vert="horz" anchor="ctr" anchorCtr="1"/>
        <a:lstStyle xmlns:a="http://schemas.openxmlformats.org/drawingml/2006/main"/>
        <a:p xmlns:a="http://schemas.openxmlformats.org/drawingml/2006/main">
          <a:pPr>
            <a:defRPr sz="900" b="0" i="0">
              <a:solidFill>
                <a:schemeClr val="tx1"/>
              </a:solidFill>
              <a:latin typeface="+mn-lt"/>
              <a:ea typeface="+mn-lt"/>
              <a:cs typeface="+mn-lt"/>
            </a:defRPr>
          </a:pPr>
        </a:p>
      </c:txPr>
    </c:legend>
    <c:plotVisOnly val="1"/>
    <c:dispBlanksAs val="gap"/>
  </c:chart>
  <c:spPr>
    <a:solidFill xmlns:a="http://schemas.openxmlformats.org/drawingml/2006/main">
      <a:schemeClr val="bg1"/>
    </a:solidFill>
    <a:ln xmlns:a="http://schemas.openxmlformats.org/drawingml/2006/main" w="9525" cmpd="sng">
      <a:solidFill>
        <a:schemeClr val="tx1">
          <a:lumMod val="15000"/>
          <a:lumOff val="85000"/>
        </a:schemeClr>
      </a:solidFill>
      <a:prstDash val="solid"/>
    </a:ln>
  </c:spPr>
</c:chartSpace>
</file>

<file path=xl/drawings/charts/chart3.xml><?xml version="1.0" encoding="utf-8"?>
<c:chartSpace xmlns:c="http://schemas.openxmlformats.org/drawingml/2006/chart">
  <c:lang val="en-US"/>
  <c:chart>
    <c:title>
      <c:tx>
        <c:rich>
          <a:bodyPr xmlns:a="http://schemas.openxmlformats.org/drawingml/2006/main"/>
          <a:lstStyle xmlns:a="http://schemas.openxmlformats.org/drawingml/2006/main"/>
          <a:p xmlns:a="http://schemas.openxmlformats.org/drawingml/2006/main">
            <a:r>
              <a:rPr sz="1400" b="0" i="0" spc="0">
                <a:solidFill>
                  <a:schemeClr val="tx1"/>
                </a:solidFill>
                <a:latin typeface="+mn-lt"/>
                <a:ea typeface="+mn-lt"/>
                <a:cs typeface="+mn-lt"/>
              </a:rPr>
              <a:t>Title</a:t>
            </a:r>
          </a:p>
        </c:rich>
      </c:tx>
      <c:overlay val="0"/>
      <c:txPr>
        <a:bodyPr xmlns:a="http://schemas.openxmlformats.org/drawingml/2006/main" rot="0" vert="horz" anchor="ctr" anchorCtr="1"/>
        <a:lstStyle xmlns:a="http://schemas.openxmlformats.org/drawingml/2006/main"/>
        <a:p xmlns:a="http://schemas.openxmlformats.org/drawingml/2006/main">
          <a:pPr>
            <a:defRPr sz="1400" b="0" i="0" spc="0">
              <a:solidFill>
                <a:schemeClr val="tx1"/>
              </a:solidFill>
              <a:latin typeface="+mn-lt"/>
              <a:ea typeface="+mn-lt"/>
              <a:cs typeface="+mn-lt"/>
            </a:defRPr>
          </a:pPr>
        </a:p>
      </c:txPr>
    </c:title>
    <c:autoTitleDeleted val="0"/>
    <c:plotArea>
      <c:layout/>
      <c:barChart>
        <c:barDir val="col"/>
        <c:grouping val="stacked"/>
        <c:varyColors val="0"/>
        <c:ser>
          <c:idx val="0"/>
          <c:order val="0"/>
          <c:tx>
            <c:strRef>
              <c:f>CGI!$H$2</c:f>
              <c:strCache>
                <c:ptCount val="1"/>
                <c:pt idx="0">
                  <c:v>A</c:v>
                </c:pt>
              </c:strCache>
            </c:strRef>
          </c:tx>
          <c:spPr>
            <a:solidFill xmlns:a="http://schemas.openxmlformats.org/drawingml/2006/main">
              <a:schemeClr val="tx2"/>
            </a:solidFill>
            <a:ln xmlns:a="http://schemas.openxmlformats.org/drawingml/2006/main" w="19050">
              <a:solidFill>
                <a:schemeClr val="bg1"/>
              </a:solidFill>
              <a:prstDash val="solid"/>
            </a:ln>
          </c:spPr>
          <c:invertIfNegative val="0"/>
          <c:dLbls>
            <c:spPr>
              <a:noFill xmlns:a="http://schemas.openxmlformats.org/drawingml/2006/main"/>
              <a:ln xmlns:a="http://schemas.openxmlformats.org/drawingml/2006/main">
                <a:noFill/>
                <a:prstDash val="solid"/>
              </a:ln>
            </c:spPr>
            <c:txPr>
              <a:bodyPr xmlns:a="http://schemas.openxmlformats.org/drawingml/2006/main" anchorCtr="1"/>
              <a:lstStyle xmlns:a="http://schemas.openxmlformats.org/drawingml/2006/main"/>
              <a:p xmlns:a="http://schemas.openxmlformats.org/drawingml/2006/main">
                <a:pPr>
                  <a:defRPr sz="700" b="1" i="0">
                    <a:solidFill>
                      <a:schemeClr val="bg1"/>
                    </a:solidFill>
                    <a:latin typeface="+mn-lt"/>
                    <a:ea typeface="+mn-lt"/>
                    <a:cs typeface="+mn-lt"/>
                  </a:defRPr>
                </a:pPr>
              </a:p>
            </c:txPr>
            <c:dLblPos val="ctr"/>
            <c:showLegendKey val="0"/>
            <c:showVal val="0"/>
            <c:showCatName val="0"/>
            <c:showSerName val="1"/>
            <c:showPercent val="0"/>
            <c:showBubbleSize val="0"/>
            <c:showLeaderLines val="0"/>
          </c:dLbls>
          <c:cat>
            <c:strRef>
              <c:f>CGI!$I$1:$L$1</c:f>
              <c:strCache>
                <c:ptCount val="4"/>
                <c:pt idx="0">
                  <c:v>Series 1</c:v>
                </c:pt>
                <c:pt idx="1">
                  <c:v>Series 2</c:v>
                </c:pt>
                <c:pt idx="2">
                  <c:v>Series 3</c:v>
                </c:pt>
                <c:pt idx="3">
                  <c:v>Series 4</c:v>
                </c:pt>
              </c:strCache>
            </c:strRef>
          </c:cat>
          <c:val>
            <c:numRef>
              <c:f>CGI!$I$2:$L$2</c:f>
              <c:numCache>
                <c:formatCode>0.00</c:formatCode>
                <c:ptCount val="4"/>
                <c:pt idx="0">
                  <c:v>90</c:v>
                </c:pt>
                <c:pt idx="1">
                  <c:v>112</c:v>
                </c:pt>
                <c:pt idx="2">
                  <c:v>134</c:v>
                </c:pt>
                <c:pt idx="3">
                  <c:v>134</c:v>
                </c:pt>
              </c:numCache>
            </c:numRef>
          </c:val>
        </c:ser>
        <c:ser>
          <c:idx val="1"/>
          <c:order val="1"/>
          <c:tx>
            <c:strRef>
              <c:f>CGI!$H$3</c:f>
              <c:strCache>
                <c:ptCount val="1"/>
                <c:pt idx="0">
                  <c:v>B</c:v>
                </c:pt>
              </c:strCache>
            </c:strRef>
          </c:tx>
          <c:spPr>
            <a:solidFill xmlns:a="http://schemas.openxmlformats.org/drawingml/2006/main">
              <a:schemeClr val="accent1"/>
            </a:solidFill>
            <a:ln xmlns:a="http://schemas.openxmlformats.org/drawingml/2006/main" w="19050">
              <a:solidFill>
                <a:schemeClr val="bg1"/>
              </a:solidFill>
              <a:prstDash val="solid"/>
            </a:ln>
          </c:spPr>
          <c:invertIfNegative val="0"/>
          <c:dLbls>
            <c:spPr>
              <a:noFill xmlns:a="http://schemas.openxmlformats.org/drawingml/2006/main"/>
              <a:ln xmlns:a="http://schemas.openxmlformats.org/drawingml/2006/main">
                <a:noFill/>
                <a:prstDash val="solid"/>
              </a:ln>
            </c:spPr>
            <c:txPr>
              <a:bodyPr xmlns:a="http://schemas.openxmlformats.org/drawingml/2006/main" anchorCtr="1"/>
              <a:lstStyle xmlns:a="http://schemas.openxmlformats.org/drawingml/2006/main"/>
              <a:p xmlns:a="http://schemas.openxmlformats.org/drawingml/2006/main">
                <a:pPr>
                  <a:defRPr sz="700" b="1" i="0">
                    <a:solidFill>
                      <a:schemeClr val="bg1"/>
                    </a:solidFill>
                    <a:latin typeface="+mn-lt"/>
                    <a:ea typeface="+mn-lt"/>
                    <a:cs typeface="+mn-lt"/>
                  </a:defRPr>
                </a:pPr>
              </a:p>
            </c:txPr>
            <c:dLblPos val="ctr"/>
            <c:showLegendKey val="0"/>
            <c:showVal val="0"/>
            <c:showCatName val="0"/>
            <c:showSerName val="1"/>
            <c:showPercent val="0"/>
            <c:showBubbleSize val="0"/>
            <c:showLeaderLines val="0"/>
          </c:dLbls>
          <c:cat>
            <c:strRef>
              <c:f>CGI!$I$1:$L$1</c:f>
              <c:strCache>
                <c:ptCount val="4"/>
                <c:pt idx="0">
                  <c:v>Series 1</c:v>
                </c:pt>
                <c:pt idx="1">
                  <c:v>Series 2</c:v>
                </c:pt>
                <c:pt idx="2">
                  <c:v>Series 3</c:v>
                </c:pt>
                <c:pt idx="3">
                  <c:v>Series 4</c:v>
                </c:pt>
              </c:strCache>
            </c:strRef>
          </c:cat>
          <c:val>
            <c:numRef>
              <c:f>CGI!$I$3:$L$3</c:f>
              <c:numCache>
                <c:formatCode>0.00</c:formatCode>
                <c:ptCount val="4"/>
                <c:pt idx="0">
                  <c:v>76</c:v>
                </c:pt>
                <c:pt idx="1">
                  <c:v>90</c:v>
                </c:pt>
                <c:pt idx="2">
                  <c:v>104</c:v>
                </c:pt>
                <c:pt idx="3">
                  <c:v>104</c:v>
                </c:pt>
              </c:numCache>
            </c:numRef>
          </c:val>
        </c:ser>
        <c:ser>
          <c:idx val="2"/>
          <c:order val="2"/>
          <c:tx>
            <c:strRef>
              <c:f>CGI!$H$4</c:f>
              <c:strCache>
                <c:ptCount val="1"/>
                <c:pt idx="0">
                  <c:v>C</c:v>
                </c:pt>
              </c:strCache>
            </c:strRef>
          </c:tx>
          <c:spPr>
            <a:solidFill xmlns:a="http://schemas.openxmlformats.org/drawingml/2006/main">
              <a:schemeClr val="accent2"/>
            </a:solidFill>
            <a:ln xmlns:a="http://schemas.openxmlformats.org/drawingml/2006/main" w="19050">
              <a:solidFill>
                <a:schemeClr val="bg1"/>
              </a:solidFill>
              <a:prstDash val="solid"/>
            </a:ln>
          </c:spPr>
          <c:invertIfNegative val="0"/>
          <c:dLbls>
            <c:spPr>
              <a:noFill xmlns:a="http://schemas.openxmlformats.org/drawingml/2006/main"/>
              <a:ln xmlns:a="http://schemas.openxmlformats.org/drawingml/2006/main">
                <a:noFill/>
                <a:prstDash val="solid"/>
              </a:ln>
            </c:spPr>
            <c:txPr>
              <a:bodyPr xmlns:a="http://schemas.openxmlformats.org/drawingml/2006/main" anchorCtr="1"/>
              <a:lstStyle xmlns:a="http://schemas.openxmlformats.org/drawingml/2006/main"/>
              <a:p xmlns:a="http://schemas.openxmlformats.org/drawingml/2006/main">
                <a:pPr>
                  <a:defRPr sz="700" b="1" i="0">
                    <a:solidFill>
                      <a:schemeClr val="tx1"/>
                    </a:solidFill>
                    <a:latin typeface="+mn-lt"/>
                    <a:ea typeface="+mn-lt"/>
                    <a:cs typeface="+mn-lt"/>
                  </a:defRPr>
                </a:pPr>
              </a:p>
            </c:txPr>
            <c:dLblPos val="ctr"/>
            <c:showLegendKey val="0"/>
            <c:showVal val="0"/>
            <c:showCatName val="0"/>
            <c:showSerName val="1"/>
            <c:showPercent val="0"/>
            <c:showBubbleSize val="0"/>
            <c:showLeaderLines val="0"/>
          </c:dLbls>
          <c:cat>
            <c:strRef>
              <c:f>CGI!$I$1:$L$1</c:f>
              <c:strCache>
                <c:ptCount val="4"/>
                <c:pt idx="0">
                  <c:v>Series 1</c:v>
                </c:pt>
                <c:pt idx="1">
                  <c:v>Series 2</c:v>
                </c:pt>
                <c:pt idx="2">
                  <c:v>Series 3</c:v>
                </c:pt>
                <c:pt idx="3">
                  <c:v>Series 4</c:v>
                </c:pt>
              </c:strCache>
            </c:strRef>
          </c:cat>
          <c:val>
            <c:numRef>
              <c:f>CGI!$I$4:$L$4</c:f>
              <c:numCache>
                <c:formatCode>0.00</c:formatCode>
                <c:ptCount val="4"/>
                <c:pt idx="0">
                  <c:v>95</c:v>
                </c:pt>
                <c:pt idx="1">
                  <c:v>108</c:v>
                </c:pt>
                <c:pt idx="2">
                  <c:v>121</c:v>
                </c:pt>
                <c:pt idx="3">
                  <c:v>121</c:v>
                </c:pt>
              </c:numCache>
            </c:numRef>
          </c:val>
        </c:ser>
        <c:ser>
          <c:idx val="3"/>
          <c:order val="3"/>
          <c:tx>
            <c:strRef>
              <c:f>CGI!$H$5</c:f>
              <c:strCache>
                <c:ptCount val="1"/>
                <c:pt idx="0">
                  <c:v>D</c:v>
                </c:pt>
              </c:strCache>
            </c:strRef>
          </c:tx>
          <c:spPr>
            <a:solidFill xmlns:a="http://schemas.openxmlformats.org/drawingml/2006/main">
              <a:schemeClr val="accent3"/>
            </a:solidFill>
            <a:ln xmlns:a="http://schemas.openxmlformats.org/drawingml/2006/main" w="19050">
              <a:solidFill>
                <a:schemeClr val="bg1"/>
              </a:solidFill>
              <a:prstDash val="solid"/>
            </a:ln>
          </c:spPr>
          <c:invertIfNegative val="0"/>
          <c:dLbls>
            <c:spPr>
              <a:noFill xmlns:a="http://schemas.openxmlformats.org/drawingml/2006/main"/>
              <a:ln xmlns:a="http://schemas.openxmlformats.org/drawingml/2006/main">
                <a:noFill/>
                <a:prstDash val="solid"/>
              </a:ln>
            </c:spPr>
            <c:txPr>
              <a:bodyPr xmlns:a="http://schemas.openxmlformats.org/drawingml/2006/main" anchorCtr="1"/>
              <a:lstStyle xmlns:a="http://schemas.openxmlformats.org/drawingml/2006/main"/>
              <a:p xmlns:a="http://schemas.openxmlformats.org/drawingml/2006/main">
                <a:pPr>
                  <a:defRPr sz="700" b="1" i="0">
                    <a:solidFill>
                      <a:schemeClr val="tx1"/>
                    </a:solidFill>
                    <a:latin typeface="+mn-lt"/>
                    <a:ea typeface="+mn-lt"/>
                    <a:cs typeface="+mn-lt"/>
                  </a:defRPr>
                </a:pPr>
              </a:p>
            </c:txPr>
            <c:dLblPos val="ctr"/>
            <c:showLegendKey val="0"/>
            <c:showVal val="0"/>
            <c:showCatName val="0"/>
            <c:showSerName val="1"/>
            <c:showPercent val="0"/>
            <c:showBubbleSize val="0"/>
            <c:showLeaderLines val="0"/>
          </c:dLbls>
          <c:cat>
            <c:strRef>
              <c:f>CGI!$I$1:$L$1</c:f>
              <c:strCache>
                <c:ptCount val="4"/>
                <c:pt idx="0">
                  <c:v>Series 1</c:v>
                </c:pt>
                <c:pt idx="1">
                  <c:v>Series 2</c:v>
                </c:pt>
                <c:pt idx="2">
                  <c:v>Series 3</c:v>
                </c:pt>
                <c:pt idx="3">
                  <c:v>Series 4</c:v>
                </c:pt>
              </c:strCache>
            </c:strRef>
          </c:cat>
          <c:val>
            <c:numRef>
              <c:f>CGI!$I$5:$L$5</c:f>
              <c:numCache>
                <c:formatCode>0.00</c:formatCode>
                <c:ptCount val="4"/>
                <c:pt idx="0">
                  <c:v>100</c:v>
                </c:pt>
                <c:pt idx="1">
                  <c:v>112</c:v>
                </c:pt>
                <c:pt idx="2">
                  <c:v>127</c:v>
                </c:pt>
                <c:pt idx="3">
                  <c:v>127</c:v>
                </c:pt>
              </c:numCache>
            </c:numRef>
          </c:val>
        </c:ser>
        <c:dLbls>
          <c:showLegendKey val="0"/>
          <c:showVal val="0"/>
          <c:showCatName val="0"/>
          <c:showSerName val="0"/>
          <c:showPercent val="0"/>
          <c:showBubbleSize val="0"/>
        </c:dLbls>
        <c:gapWidth val="150"/>
        <c:overlap val="100"/>
        <c:axId val="48650112"/>
        <c:axId val="48672768"/>
      </c:barChart>
      <c:catAx>
        <c:axId val="48650112"/>
        <c:scaling>
          <c:orientation val="minMax"/>
        </c:scaling>
        <c:delete val="0"/>
        <c:axPos val="b"/>
        <c:numFmt formatCode="General" sourceLinked="1"/>
        <c:majorTickMark val="none"/>
        <c:minorTickMark val="none"/>
        <c:tickLblPos val="nextTo"/>
        <c:spPr>
          <a:ln xmlns:a="http://schemas.openxmlformats.org/drawingml/2006/main" w="9525" cmpd="sng">
            <a:solidFill>
              <a:schemeClr val="tx1">
                <a:lumMod val="15000"/>
                <a:lumOff val="85000"/>
              </a:schemeClr>
            </a:solidFill>
            <a:prstDash val="solid"/>
          </a:ln>
        </c:spPr>
        <c:txPr>
          <a:bodyPr xmlns:a="http://schemas.openxmlformats.org/drawingml/2006/main" rot="-60000000" vert="horz" anchor="ctr" anchorCtr="1"/>
          <a:lstStyle xmlns:a="http://schemas.openxmlformats.org/drawingml/2006/main"/>
          <a:p xmlns:a="http://schemas.openxmlformats.org/drawingml/2006/main">
            <a:pPr>
              <a:defRPr sz="900" b="0" i="0">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0"/>
        <c:axPos val="l"/>
        <c:majorGridlines>
          <c:spPr>
            <a:ln xmlns:a="http://schemas.openxmlformats.org/drawingml/2006/main" w="9525" cmpd="sng">
              <a:solidFill>
                <a:schemeClr val="tx1">
                  <a:lumMod val="15000"/>
                  <a:lumOff val="85000"/>
                </a:schemeClr>
              </a:solidFill>
              <a:prstDash val="solid"/>
            </a:ln>
          </c:spPr>
        </c:majorGridlines>
        <c:numFmt formatCode="0.00" sourceLinked="1"/>
        <c:majorTickMark val="none"/>
        <c:minorTickMark val="none"/>
        <c:tickLblPos val="nextTo"/>
        <c:spPr>
          <a:ln xmlns:a="http://schemas.openxmlformats.org/drawingml/2006/main">
            <a:noFill/>
            <a:prstDash val="solid"/>
          </a:ln>
        </c:spPr>
        <c:txPr>
          <a:bodyPr xmlns:a="http://schemas.openxmlformats.org/drawingml/2006/main" rot="-60000000" vert="horz" anchor="ctr" anchorCtr="1"/>
          <a:lstStyle xmlns:a="http://schemas.openxmlformats.org/drawingml/2006/main"/>
          <a:p xmlns:a="http://schemas.openxmlformats.org/drawingml/2006/main">
            <a:pPr>
              <a:defRPr sz="900" b="0" i="0">
                <a:solidFill>
                  <a:schemeClr val="tx1"/>
                </a:solidFill>
                <a:latin typeface="+mn-lt"/>
                <a:ea typeface="+mn-lt"/>
                <a:cs typeface="+mn-lt"/>
              </a:defRPr>
            </a:pPr>
          </a:p>
        </c:txPr>
        <c:crossAx val="48650112"/>
        <c:crosses val="autoZero"/>
        <c:crossBetween val="between"/>
      </c:valAx>
    </c:plotArea>
    <c:legend>
      <c:legendPos val="b"/>
      <c:overlay val="0"/>
      <c:spPr>
        <a:noFill xmlns:a="http://schemas.openxmlformats.org/drawingml/2006/main"/>
        <a:ln xmlns:a="http://schemas.openxmlformats.org/drawingml/2006/main">
          <a:noFill/>
          <a:prstDash val="solid"/>
        </a:ln>
      </c:spPr>
      <c:txPr>
        <a:bodyPr xmlns:a="http://schemas.openxmlformats.org/drawingml/2006/main" rot="0" vert="horz" anchor="ctr" anchorCtr="1"/>
        <a:lstStyle xmlns:a="http://schemas.openxmlformats.org/drawingml/2006/main"/>
        <a:p xmlns:a="http://schemas.openxmlformats.org/drawingml/2006/main">
          <a:pPr>
            <a:defRPr sz="900" b="0" i="0">
              <a:solidFill>
                <a:schemeClr val="tx1"/>
              </a:solidFill>
              <a:latin typeface="+mn-lt"/>
              <a:ea typeface="+mn-lt"/>
              <a:cs typeface="+mn-lt"/>
            </a:defRPr>
          </a:pPr>
        </a:p>
      </c:txPr>
    </c:legend>
    <c:plotVisOnly val="1"/>
    <c:dispBlanksAs val="gap"/>
  </c:chart>
  <c:spPr>
    <a:solidFill xmlns:a="http://schemas.openxmlformats.org/drawingml/2006/main">
      <a:schemeClr val="bg1"/>
    </a:solidFill>
    <a:ln xmlns:a="http://schemas.openxmlformats.org/drawingml/2006/main" w="9525" cmpd="sng">
      <a:solidFill>
        <a:schemeClr val="tx1">
          <a:lumMod val="15000"/>
          <a:lumOff val="85000"/>
        </a:schemeClr>
      </a:solidFill>
      <a:prstDash val="solid"/>
    </a:ln>
  </c:spPr>
</c:chartSpace>
</file>

<file path=xl/drawings/charts/chart4.xml><?xml version="1.0" encoding="utf-8"?>
<c:chartSpace xmlns:c="http://schemas.openxmlformats.org/drawingml/2006/chart">
  <c:lang val="en-US"/>
  <c:chart>
    <c:plotArea>
      <c:layout/>
      <c:barChart>
        <c:barDir val="col"/>
        <c:grouping val="clustered"/>
        <c:varyColors val="0"/>
        <c:ser>
          <c:idx val="0"/>
          <c:order val="0"/>
          <c:tx>
            <c:strRef>
              <c:f>CGI!$P$1</c:f>
              <c:strCache>
                <c:ptCount val="1"/>
                <c:pt idx="0">
                  <c:v>A. Item 1</c:v>
                </c:pt>
              </c:strCache>
            </c:strRef>
          </c:tx>
          <c:spPr>
            <a:solidFill xmlns:a="http://schemas.openxmlformats.org/drawingml/2006/main">
              <a:schemeClr val="tx2"/>
            </a:solidFill>
            <a:ln xmlns:a="http://schemas.openxmlformats.org/drawingml/2006/main">
              <a:noFill/>
              <a:prstDash val="solid"/>
            </a:ln>
          </c:spPr>
          <c:invertIfNegative val="0"/>
          <c:dLbls>
            <c:spPr>
              <a:noFill xmlns:a="http://schemas.openxmlformats.org/drawingml/2006/main"/>
              <a:ln xmlns:a="http://schemas.openxmlformats.org/drawingml/2006/main">
                <a:noFill/>
                <a:prstDash val="solid"/>
              </a:ln>
            </c:spPr>
            <c:txPr>
              <a:bodyPr xmlns:a="http://schemas.openxmlformats.org/drawingml/2006/main" anchorCtr="1"/>
              <a:lstStyle xmlns:a="http://schemas.openxmlformats.org/drawingml/2006/main"/>
              <a:p xmlns:a="http://schemas.openxmlformats.org/drawingml/2006/main">
                <a:pPr>
                  <a:defRPr sz="900" b="1" i="0">
                    <a:solidFill>
                      <a:schemeClr val="bg1"/>
                    </a:solidFill>
                    <a:latin typeface="+mn-lt"/>
                    <a:ea typeface="+mn-lt"/>
                    <a:cs typeface="+mn-lt"/>
                  </a:defRPr>
                </a:pPr>
              </a:p>
            </c:txPr>
            <c:dLblPos val="ctr"/>
            <c:showLegendKey val="0"/>
            <c:showVal val="1"/>
            <c:showCatName val="0"/>
            <c:showSerName val="0"/>
            <c:showPercent val="0"/>
            <c:showBubbleSize val="0"/>
            <c:showLeaderLines val="0"/>
          </c:dLbls>
          <c:cat>
            <c:strRef>
              <c:f>CGI!$O$2</c:f>
              <c:strCache>
                <c:ptCount val="1"/>
                <c:pt idx="0">
                  <c:v>Category</c:v>
                </c:pt>
              </c:strCache>
            </c:strRef>
          </c:cat>
          <c:val>
            <c:numRef>
              <c:f>CGI!$P$2</c:f>
              <c:numCache>
                <c:formatCode>0</c:formatCode>
                <c:ptCount val="1"/>
                <c:pt idx="0">
                  <c:v>10</c:v>
                </c:pt>
              </c:numCache>
            </c:numRef>
          </c:val>
        </c:ser>
        <c:ser>
          <c:idx val="1"/>
          <c:order val="1"/>
          <c:tx>
            <c:strRef>
              <c:f>CGI!$Q$1</c:f>
              <c:strCache>
                <c:ptCount val="1"/>
                <c:pt idx="0">
                  <c:v>B. Item 2</c:v>
                </c:pt>
              </c:strCache>
            </c:strRef>
          </c:tx>
          <c:spPr>
            <a:solidFill xmlns:a="http://schemas.openxmlformats.org/drawingml/2006/main">
              <a:schemeClr val="accent1"/>
            </a:solidFill>
            <a:ln xmlns:a="http://schemas.openxmlformats.org/drawingml/2006/main">
              <a:noFill/>
              <a:prstDash val="solid"/>
            </a:ln>
          </c:spPr>
          <c:invertIfNegative val="0"/>
          <c:dLbls>
            <c:spPr>
              <a:noFill xmlns:a="http://schemas.openxmlformats.org/drawingml/2006/main"/>
              <a:ln xmlns:a="http://schemas.openxmlformats.org/drawingml/2006/main">
                <a:noFill/>
                <a:prstDash val="solid"/>
              </a:ln>
            </c:spPr>
            <c:txPr>
              <a:bodyPr xmlns:a="http://schemas.openxmlformats.org/drawingml/2006/main" anchorCtr="1"/>
              <a:lstStyle xmlns:a="http://schemas.openxmlformats.org/drawingml/2006/main"/>
              <a:p xmlns:a="http://schemas.openxmlformats.org/drawingml/2006/main">
                <a:pPr>
                  <a:defRPr sz="900" b="1" i="0">
                    <a:solidFill>
                      <a:schemeClr val="bg1"/>
                    </a:solidFill>
                    <a:latin typeface="+mn-lt"/>
                    <a:ea typeface="+mn-lt"/>
                    <a:cs typeface="+mn-lt"/>
                  </a:defRPr>
                </a:pPr>
              </a:p>
            </c:txPr>
            <c:dLblPos val="ctr"/>
            <c:showLegendKey val="0"/>
            <c:showVal val="1"/>
            <c:showCatName val="0"/>
            <c:showSerName val="0"/>
            <c:showPercent val="0"/>
            <c:showBubbleSize val="0"/>
            <c:showLeaderLines val="0"/>
          </c:dLbls>
          <c:cat>
            <c:strRef>
              <c:f>CGI!$O$2</c:f>
              <c:strCache>
                <c:ptCount val="1"/>
                <c:pt idx="0">
                  <c:v>Category</c:v>
                </c:pt>
              </c:strCache>
            </c:strRef>
          </c:cat>
          <c:val>
            <c:numRef>
              <c:f>CGI!$Q$2</c:f>
              <c:numCache>
                <c:formatCode>0</c:formatCode>
                <c:ptCount val="1"/>
                <c:pt idx="0">
                  <c:v>15</c:v>
                </c:pt>
              </c:numCache>
            </c:numRef>
          </c:val>
        </c:ser>
        <c:ser>
          <c:idx val="2"/>
          <c:order val="2"/>
          <c:tx>
            <c:strRef>
              <c:f>CGI!$R$1</c:f>
              <c:strCache>
                <c:ptCount val="1"/>
                <c:pt idx="0">
                  <c:v>C. Item 3</c:v>
                </c:pt>
              </c:strCache>
            </c:strRef>
          </c:tx>
          <c:spPr>
            <a:solidFill xmlns:a="http://schemas.openxmlformats.org/drawingml/2006/main">
              <a:srgbClr val="6E3FED"/>
            </a:solidFill>
            <a:ln xmlns:a="http://schemas.openxmlformats.org/drawingml/2006/main">
              <a:noFill/>
              <a:prstDash val="solid"/>
            </a:ln>
          </c:spPr>
          <c:invertIfNegative val="0"/>
          <c:dLbls>
            <c:spPr>
              <a:noFill xmlns:a="http://schemas.openxmlformats.org/drawingml/2006/main"/>
              <a:ln xmlns:a="http://schemas.openxmlformats.org/drawingml/2006/main">
                <a:noFill/>
                <a:prstDash val="solid"/>
              </a:ln>
            </c:spPr>
            <c:txPr>
              <a:bodyPr xmlns:a="http://schemas.openxmlformats.org/drawingml/2006/main" anchorCtr="1"/>
              <a:lstStyle xmlns:a="http://schemas.openxmlformats.org/drawingml/2006/main"/>
              <a:p xmlns:a="http://schemas.openxmlformats.org/drawingml/2006/main">
                <a:pPr>
                  <a:defRPr sz="900" b="1" i="0">
                    <a:solidFill>
                      <a:schemeClr val="bg1"/>
                    </a:solidFill>
                    <a:latin typeface="+mn-lt"/>
                    <a:ea typeface="+mn-lt"/>
                    <a:cs typeface="+mn-lt"/>
                  </a:defRPr>
                </a:pPr>
              </a:p>
            </c:txPr>
            <c:dLblPos val="ctr"/>
            <c:showLegendKey val="0"/>
            <c:showVal val="1"/>
            <c:showCatName val="0"/>
            <c:showSerName val="0"/>
            <c:showPercent val="0"/>
            <c:showBubbleSize val="0"/>
            <c:showLeaderLines val="0"/>
          </c:dLbls>
          <c:cat>
            <c:strRef>
              <c:f>CGI!$O$2</c:f>
              <c:strCache>
                <c:ptCount val="1"/>
                <c:pt idx="0">
                  <c:v>Category</c:v>
                </c:pt>
              </c:strCache>
            </c:strRef>
          </c:cat>
          <c:val>
            <c:numRef>
              <c:f>CGI!$R$2</c:f>
              <c:numCache>
                <c:formatCode>0</c:formatCode>
                <c:ptCount val="1"/>
                <c:pt idx="0">
                  <c:v>20</c:v>
                </c:pt>
              </c:numCache>
            </c:numRef>
          </c:val>
        </c:ser>
        <c:ser>
          <c:idx val="3"/>
          <c:order val="3"/>
          <c:tx>
            <c:strRef>
              <c:f>CGI!$S$1</c:f>
              <c:strCache>
                <c:ptCount val="1"/>
                <c:pt idx="0">
                  <c:v>D. Item 4</c:v>
                </c:pt>
              </c:strCache>
            </c:strRef>
          </c:tx>
          <c:spPr>
            <a:solidFill xmlns:a="http://schemas.openxmlformats.org/drawingml/2006/main">
              <a:schemeClr val="accent4"/>
            </a:solidFill>
            <a:ln xmlns:a="http://schemas.openxmlformats.org/drawingml/2006/main">
              <a:noFill/>
              <a:prstDash val="solid"/>
            </a:ln>
          </c:spPr>
          <c:dPt>
            <c:idx val="0"/>
            <c:spPr>
              <a:solidFill xmlns:a="http://schemas.openxmlformats.org/drawingml/2006/main">
                <a:schemeClr val="accent2"/>
              </a:solidFill>
              <a:ln xmlns:a="http://schemas.openxmlformats.org/drawingml/2006/main">
                <a:noFill/>
                <a:prstDash val="solid"/>
              </a:ln>
            </c:spPr>
          </c:dPt>
          <c:invertIfNegative val="0"/>
          <c:dLbls>
            <c:spPr>
              <a:noFill xmlns:a="http://schemas.openxmlformats.org/drawingml/2006/main"/>
              <a:ln xmlns:a="http://schemas.openxmlformats.org/drawingml/2006/main">
                <a:noFill/>
                <a:prstDash val="solid"/>
              </a:ln>
            </c:spPr>
            <c:txPr>
              <a:bodyPr xmlns:a="http://schemas.openxmlformats.org/drawingml/2006/main" anchorCtr="1"/>
              <a:lstStyle xmlns:a="http://schemas.openxmlformats.org/drawingml/2006/main"/>
              <a:p xmlns:a="http://schemas.openxmlformats.org/drawingml/2006/main">
                <a:pPr>
                  <a:defRPr sz="900" b="1" i="0">
                    <a:solidFill>
                      <a:schemeClr val="bg1"/>
                    </a:solidFill>
                    <a:latin typeface="+mn-lt"/>
                    <a:ea typeface="+mn-lt"/>
                    <a:cs typeface="+mn-lt"/>
                  </a:defRPr>
                </a:pPr>
              </a:p>
            </c:txPr>
            <c:dLblPos val="ctr"/>
            <c:showLegendKey val="0"/>
            <c:showVal val="1"/>
            <c:showCatName val="0"/>
            <c:showSerName val="0"/>
            <c:showPercent val="0"/>
            <c:showBubbleSize val="0"/>
            <c:showLeaderLines val="0"/>
          </c:dLbls>
          <c:cat>
            <c:strRef>
              <c:f>CGI!$O$2</c:f>
              <c:strCache>
                <c:ptCount val="1"/>
                <c:pt idx="0">
                  <c:v>Category</c:v>
                </c:pt>
              </c:strCache>
            </c:strRef>
          </c:cat>
          <c:val>
            <c:numRef>
              <c:f>CGI!$S$2</c:f>
              <c:numCache>
                <c:formatCode>0</c:formatCode>
                <c:ptCount val="1"/>
                <c:pt idx="0">
                  <c:v>25</c:v>
                </c:pt>
              </c:numCache>
            </c:numRef>
          </c:val>
        </c:ser>
        <c:ser>
          <c:idx val="4"/>
          <c:order val="4"/>
          <c:tx>
            <c:strRef>
              <c:f>CGI!$T$1</c:f>
              <c:strCache>
                <c:ptCount val="1"/>
                <c:pt idx="0">
                  <c:v>E. Item 5</c:v>
                </c:pt>
              </c:strCache>
            </c:strRef>
          </c:tx>
          <c:spPr>
            <a:solidFill xmlns:a="http://schemas.openxmlformats.org/drawingml/2006/main">
              <a:schemeClr val="accent5"/>
            </a:solidFill>
            <a:ln xmlns:a="http://schemas.openxmlformats.org/drawingml/2006/main">
              <a:noFill/>
              <a:prstDash val="solid"/>
            </a:ln>
          </c:spPr>
          <c:dPt>
            <c:idx val="0"/>
            <c:spPr>
              <a:solidFill xmlns:a="http://schemas.openxmlformats.org/drawingml/2006/main">
                <a:srgbClr val="BFB5F9"/>
              </a:solidFill>
              <a:ln xmlns:a="http://schemas.openxmlformats.org/drawingml/2006/main">
                <a:noFill/>
                <a:prstDash val="solid"/>
              </a:ln>
            </c:spPr>
          </c:dPt>
          <c:invertIfNegative val="0"/>
          <c:dLbls>
            <c:spPr>
              <a:noFill xmlns:a="http://schemas.openxmlformats.org/drawingml/2006/main"/>
              <a:ln xmlns:a="http://schemas.openxmlformats.org/drawingml/2006/main">
                <a:noFill/>
                <a:prstDash val="solid"/>
              </a:ln>
            </c:spPr>
            <c:txPr>
              <a:bodyPr xmlns:a="http://schemas.openxmlformats.org/drawingml/2006/main" anchorCtr="1"/>
              <a:lstStyle xmlns:a="http://schemas.openxmlformats.org/drawingml/2006/main"/>
              <a:p xmlns:a="http://schemas.openxmlformats.org/drawingml/2006/main">
                <a:pPr>
                  <a:defRPr sz="900" b="1" i="0">
                    <a:solidFill>
                      <a:schemeClr val="bg1"/>
                    </a:solidFill>
                    <a:latin typeface="+mn-lt"/>
                    <a:ea typeface="+mn-lt"/>
                    <a:cs typeface="+mn-lt"/>
                  </a:defRPr>
                </a:pPr>
              </a:p>
            </c:txPr>
            <c:dLblPos val="ctr"/>
            <c:showLegendKey val="0"/>
            <c:showVal val="1"/>
            <c:showCatName val="0"/>
            <c:showSerName val="0"/>
            <c:showPercent val="0"/>
            <c:showBubbleSize val="0"/>
            <c:showLeaderLines val="0"/>
          </c:dLbls>
          <c:cat>
            <c:strRef>
              <c:f>CGI!$O$2</c:f>
              <c:strCache>
                <c:ptCount val="1"/>
                <c:pt idx="0">
                  <c:v>Category</c:v>
                </c:pt>
              </c:strCache>
            </c:strRef>
          </c:cat>
          <c:val>
            <c:numRef>
              <c:f>CGI!$T$2</c:f>
              <c:numCache>
                <c:formatCode>0</c:formatCode>
                <c:ptCount val="1"/>
                <c:pt idx="0">
                  <c:v>30</c:v>
                </c:pt>
              </c:numCache>
            </c:numRef>
          </c:val>
        </c:ser>
        <c:ser>
          <c:idx val="5"/>
          <c:order val="5"/>
          <c:tx>
            <c:strRef>
              <c:f>CGI!$U$1</c:f>
              <c:strCache>
                <c:ptCount val="1"/>
                <c:pt idx="0">
                  <c:v>F. Item 6</c:v>
                </c:pt>
              </c:strCache>
            </c:strRef>
          </c:tx>
          <c:spPr>
            <a:solidFill xmlns:a="http://schemas.openxmlformats.org/drawingml/2006/main">
              <a:schemeClr val="accent3"/>
            </a:solidFill>
            <a:ln xmlns:a="http://schemas.openxmlformats.org/drawingml/2006/main">
              <a:noFill/>
              <a:prstDash val="solid"/>
            </a:ln>
          </c:spPr>
          <c:invertIfNegative val="0"/>
          <c:dLbls>
            <c:spPr>
              <a:noFill xmlns:a="http://schemas.openxmlformats.org/drawingml/2006/main"/>
              <a:ln xmlns:a="http://schemas.openxmlformats.org/drawingml/2006/main">
                <a:noFill/>
                <a:prstDash val="solid"/>
              </a:ln>
            </c:spPr>
            <c:txPr>
              <a:bodyPr xmlns:a="http://schemas.openxmlformats.org/drawingml/2006/main" anchorCtr="1"/>
              <a:lstStyle xmlns:a="http://schemas.openxmlformats.org/drawingml/2006/main"/>
              <a:p xmlns:a="http://schemas.openxmlformats.org/drawingml/2006/main">
                <a:pPr>
                  <a:defRPr sz="900" b="1" i="0">
                    <a:solidFill>
                      <a:schemeClr val="tx1"/>
                    </a:solidFill>
                    <a:latin typeface="+mn-lt"/>
                    <a:ea typeface="+mn-lt"/>
                    <a:cs typeface="+mn-lt"/>
                  </a:defRPr>
                </a:pPr>
              </a:p>
            </c:txPr>
            <c:dLblPos val="ctr"/>
            <c:showLegendKey val="0"/>
            <c:showVal val="1"/>
            <c:showCatName val="0"/>
            <c:showSerName val="0"/>
            <c:showPercent val="0"/>
            <c:showBubbleSize val="0"/>
            <c:showLeaderLines val="0"/>
          </c:dLbls>
          <c:cat>
            <c:strRef>
              <c:f>CGI!$O$2</c:f>
              <c:strCache>
                <c:ptCount val="1"/>
                <c:pt idx="0">
                  <c:v>Category</c:v>
                </c:pt>
              </c:strCache>
            </c:strRef>
          </c:cat>
          <c:val>
            <c:numRef>
              <c:f>CGI!$U$2</c:f>
              <c:numCache>
                <c:formatCode>0</c:formatCode>
                <c:ptCount val="1"/>
                <c:pt idx="0">
                  <c:v>35</c:v>
                </c:pt>
              </c:numCache>
            </c:numRef>
          </c:val>
        </c:ser>
        <c:ser>
          <c:idx val="6"/>
          <c:order val="6"/>
          <c:tx>
            <c:strRef>
              <c:f>CGI!$V$1</c:f>
              <c:strCache>
                <c:ptCount val="1"/>
                <c:pt idx="0">
                  <c:v>G. Item 7</c:v>
                </c:pt>
              </c:strCache>
            </c:strRef>
          </c:tx>
          <c:spPr>
            <a:solidFill xmlns:a="http://schemas.openxmlformats.org/drawingml/2006/main">
              <a:srgbClr val="E6E3F3"/>
            </a:solidFill>
            <a:ln xmlns:a="http://schemas.openxmlformats.org/drawingml/2006/main">
              <a:noFill/>
              <a:prstDash val="solid"/>
            </a:ln>
          </c:spPr>
          <c:invertIfNegative val="0"/>
          <c:dLbls>
            <c:spPr>
              <a:noFill xmlns:a="http://schemas.openxmlformats.org/drawingml/2006/main"/>
              <a:ln xmlns:a="http://schemas.openxmlformats.org/drawingml/2006/main">
                <a:noFill/>
                <a:prstDash val="solid"/>
              </a:ln>
            </c:spPr>
            <c:txPr>
              <a:bodyPr xmlns:a="http://schemas.openxmlformats.org/drawingml/2006/main" anchorCtr="1"/>
              <a:lstStyle xmlns:a="http://schemas.openxmlformats.org/drawingml/2006/main"/>
              <a:p xmlns:a="http://schemas.openxmlformats.org/drawingml/2006/main">
                <a:pPr>
                  <a:defRPr sz="900" b="1" i="0">
                    <a:solidFill>
                      <a:schemeClr val="tx1"/>
                    </a:solidFill>
                    <a:latin typeface="+mn-lt"/>
                    <a:ea typeface="+mn-lt"/>
                    <a:cs typeface="+mn-lt"/>
                  </a:defRPr>
                </a:pPr>
              </a:p>
            </c:txPr>
            <c:dLblPos val="ctr"/>
            <c:showLegendKey val="0"/>
            <c:showVal val="1"/>
            <c:showCatName val="0"/>
            <c:showSerName val="0"/>
            <c:showPercent val="0"/>
            <c:showBubbleSize val="0"/>
            <c:showLeaderLines val="0"/>
          </c:dLbls>
          <c:cat>
            <c:strRef>
              <c:f>CGI!$O$2</c:f>
              <c:strCache>
                <c:ptCount val="1"/>
                <c:pt idx="0">
                  <c:v>Category</c:v>
                </c:pt>
              </c:strCache>
            </c:strRef>
          </c:cat>
          <c:val>
            <c:numRef>
              <c:f>CGI!$V$2</c:f>
              <c:numCache>
                <c:formatCode>0</c:formatCode>
                <c:ptCount val="1"/>
                <c:pt idx="0">
                  <c:v>40</c:v>
                </c:pt>
              </c:numCache>
            </c:numRef>
          </c:val>
        </c:ser>
        <c:ser>
          <c:idx val="7"/>
          <c:order val="7"/>
          <c:tx>
            <c:strRef>
              <c:f>CGI!$W$1</c:f>
              <c:strCache>
                <c:ptCount val="1"/>
                <c:pt idx="0">
                  <c:v>H. Item 8</c:v>
                </c:pt>
              </c:strCache>
            </c:strRef>
          </c:tx>
          <c:spPr>
            <a:solidFill xmlns:a="http://schemas.openxmlformats.org/drawingml/2006/main">
              <a:schemeClr val="accent6"/>
            </a:solidFill>
            <a:ln xmlns:a="http://schemas.openxmlformats.org/drawingml/2006/main">
              <a:noFill/>
              <a:prstDash val="solid"/>
            </a:ln>
          </c:spPr>
          <c:invertIfNegative val="0"/>
          <c:dLbls>
            <c:spPr>
              <a:noFill xmlns:a="http://schemas.openxmlformats.org/drawingml/2006/main"/>
              <a:ln xmlns:a="http://schemas.openxmlformats.org/drawingml/2006/main">
                <a:noFill/>
                <a:prstDash val="solid"/>
              </a:ln>
            </c:spPr>
            <c:txPr>
              <a:bodyPr xmlns:a="http://schemas.openxmlformats.org/drawingml/2006/main" anchorCtr="1"/>
              <a:lstStyle xmlns:a="http://schemas.openxmlformats.org/drawingml/2006/main"/>
              <a:p xmlns:a="http://schemas.openxmlformats.org/drawingml/2006/main">
                <a:pPr>
                  <a:defRPr sz="900" b="1" i="0">
                    <a:solidFill>
                      <a:schemeClr val="bg1"/>
                    </a:solidFill>
                    <a:latin typeface="+mn-lt"/>
                    <a:ea typeface="+mn-lt"/>
                    <a:cs typeface="+mn-lt"/>
                  </a:defRPr>
                </a:pPr>
              </a:p>
            </c:txPr>
            <c:dLblPos val="ctr"/>
            <c:showLegendKey val="0"/>
            <c:showVal val="1"/>
            <c:showCatName val="0"/>
            <c:showSerName val="0"/>
            <c:showPercent val="0"/>
            <c:showBubbleSize val="0"/>
            <c:showLeaderLines val="0"/>
          </c:dLbls>
          <c:cat>
            <c:strRef>
              <c:f>CGI!$O$2</c:f>
              <c:strCache>
                <c:ptCount val="1"/>
                <c:pt idx="0">
                  <c:v>Category</c:v>
                </c:pt>
              </c:strCache>
            </c:strRef>
          </c:cat>
          <c:val>
            <c:numRef>
              <c:f>CGI!$W$2</c:f>
              <c:numCache>
                <c:formatCode>0</c:formatCode>
                <c:ptCount val="1"/>
                <c:pt idx="0">
                  <c:v>45</c:v>
                </c:pt>
              </c:numCache>
            </c:numRef>
          </c:val>
        </c:ser>
        <c:ser>
          <c:idx val="8"/>
          <c:order val="8"/>
          <c:tx>
            <c:strRef>
              <c:f>CGI!$X$1</c:f>
              <c:strCache>
                <c:ptCount val="1"/>
                <c:pt idx="0">
                  <c:v>I. Item 9</c:v>
                </c:pt>
              </c:strCache>
            </c:strRef>
          </c:tx>
          <c:spPr>
            <a:solidFill xmlns:a="http://schemas.openxmlformats.org/drawingml/2006/main">
              <a:schemeClr val="accent5"/>
            </a:solidFill>
            <a:ln xmlns:a="http://schemas.openxmlformats.org/drawingml/2006/main">
              <a:noFill/>
              <a:prstDash val="solid"/>
            </a:ln>
          </c:spPr>
          <c:invertIfNegative val="0"/>
          <c:dLbls>
            <c:spPr>
              <a:noFill xmlns:a="http://schemas.openxmlformats.org/drawingml/2006/main"/>
              <a:ln xmlns:a="http://schemas.openxmlformats.org/drawingml/2006/main">
                <a:noFill/>
                <a:prstDash val="solid"/>
              </a:ln>
            </c:spPr>
            <c:txPr>
              <a:bodyPr xmlns:a="http://schemas.openxmlformats.org/drawingml/2006/main" anchorCtr="1"/>
              <a:lstStyle xmlns:a="http://schemas.openxmlformats.org/drawingml/2006/main"/>
              <a:p xmlns:a="http://schemas.openxmlformats.org/drawingml/2006/main">
                <a:pPr>
                  <a:defRPr sz="900" b="1" i="0">
                    <a:solidFill>
                      <a:schemeClr val="bg1"/>
                    </a:solidFill>
                    <a:latin typeface="+mn-lt"/>
                    <a:ea typeface="+mn-lt"/>
                    <a:cs typeface="+mn-lt"/>
                  </a:defRPr>
                </a:pPr>
              </a:p>
            </c:txPr>
            <c:dLblPos val="ctr"/>
            <c:showLegendKey val="0"/>
            <c:showVal val="1"/>
            <c:showCatName val="0"/>
            <c:showSerName val="0"/>
            <c:showPercent val="0"/>
            <c:showBubbleSize val="0"/>
            <c:showLeaderLines val="0"/>
          </c:dLbls>
          <c:cat>
            <c:strRef>
              <c:f>CGI!$O$2</c:f>
              <c:strCache>
                <c:ptCount val="1"/>
                <c:pt idx="0">
                  <c:v>Category</c:v>
                </c:pt>
              </c:strCache>
            </c:strRef>
          </c:cat>
          <c:val>
            <c:numRef>
              <c:f>CGI!$X$2</c:f>
              <c:numCache>
                <c:formatCode>0</c:formatCode>
                <c:ptCount val="1"/>
                <c:pt idx="0">
                  <c:v>50</c:v>
                </c:pt>
              </c:numCache>
            </c:numRef>
          </c:val>
        </c:ser>
        <c:ser>
          <c:idx val="9"/>
          <c:order val="9"/>
          <c:tx>
            <c:strRef>
              <c:f>CGI!$Y$1</c:f>
              <c:strCache>
                <c:ptCount val="1"/>
                <c:pt idx="0">
                  <c:v>J. Item 10</c:v>
                </c:pt>
              </c:strCache>
            </c:strRef>
          </c:tx>
          <c:spPr>
            <a:solidFill xmlns:a="http://schemas.openxmlformats.org/drawingml/2006/main">
              <a:schemeClr val="accent4"/>
            </a:solidFill>
            <a:ln xmlns:a="http://schemas.openxmlformats.org/drawingml/2006/main">
              <a:noFill/>
              <a:prstDash val="solid"/>
            </a:ln>
          </c:spPr>
          <c:invertIfNegative val="0"/>
          <c:dLbls>
            <c:spPr>
              <a:noFill xmlns:a="http://schemas.openxmlformats.org/drawingml/2006/main"/>
              <a:ln xmlns:a="http://schemas.openxmlformats.org/drawingml/2006/main">
                <a:noFill/>
                <a:prstDash val="solid"/>
              </a:ln>
            </c:spPr>
            <c:txPr>
              <a:bodyPr xmlns:a="http://schemas.openxmlformats.org/drawingml/2006/main" anchorCtr="1"/>
              <a:lstStyle xmlns:a="http://schemas.openxmlformats.org/drawingml/2006/main"/>
              <a:p xmlns:a="http://schemas.openxmlformats.org/drawingml/2006/main">
                <a:pPr>
                  <a:defRPr sz="900" b="1" i="0">
                    <a:solidFill>
                      <a:schemeClr val="bg1"/>
                    </a:solidFill>
                    <a:latin typeface="+mn-lt"/>
                    <a:ea typeface="+mn-lt"/>
                    <a:cs typeface="+mn-lt"/>
                  </a:defRPr>
                </a:pPr>
              </a:p>
            </c:txPr>
            <c:dLblPos val="ctr"/>
            <c:showLegendKey val="0"/>
            <c:showVal val="1"/>
            <c:showCatName val="0"/>
            <c:showSerName val="0"/>
            <c:showPercent val="0"/>
            <c:showBubbleSize val="0"/>
            <c:showLeaderLines val="0"/>
          </c:dLbls>
          <c:cat>
            <c:strRef>
              <c:f>CGI!$O$2</c:f>
              <c:strCache>
                <c:ptCount val="1"/>
                <c:pt idx="0">
                  <c:v>Category</c:v>
                </c:pt>
              </c:strCache>
            </c:strRef>
          </c:cat>
          <c:val>
            <c:numRef>
              <c:f>CGI!$Y$2</c:f>
              <c:numCache>
                <c:formatCode>0</c:formatCode>
                <c:ptCount val="1"/>
                <c:pt idx="0">
                  <c:v>55</c:v>
                </c:pt>
              </c:numCache>
            </c:numRef>
          </c:val>
        </c:ser>
        <c:dLbls>
          <c:showLegendKey val="0"/>
          <c:showVal val="0"/>
          <c:showCatName val="0"/>
          <c:showSerName val="0"/>
          <c:showPercent val="0"/>
          <c:showBubbleSize val="0"/>
        </c:dLbls>
        <c:gapWidth val="219"/>
        <c:overlap val="-27"/>
        <c:axId val="48650112"/>
        <c:axId val="48672768"/>
      </c:barChart>
      <c:catAx>
        <c:axId val="48650112"/>
        <c:scaling>
          <c:orientation val="minMax"/>
        </c:scaling>
        <c:delete val="0"/>
        <c:axPos val="b"/>
        <c:numFmt formatCode="General" sourceLinked="1"/>
        <c:majorTickMark val="none"/>
        <c:minorTickMark val="none"/>
        <c:tickLblPos val="nextTo"/>
        <c:spPr>
          <a:ln xmlns:a="http://schemas.openxmlformats.org/drawingml/2006/main" w="9525" cmpd="sng">
            <a:solidFill>
              <a:schemeClr val="tx1">
                <a:lumMod val="15000"/>
                <a:lumOff val="85000"/>
              </a:schemeClr>
            </a:solidFill>
            <a:prstDash val="solid"/>
          </a:ln>
        </c:spPr>
        <c:txPr>
          <a:bodyPr xmlns:a="http://schemas.openxmlformats.org/drawingml/2006/main" rot="-60000000" vert="horz" anchor="ctr" anchorCtr="1"/>
          <a:lstStyle xmlns:a="http://schemas.openxmlformats.org/drawingml/2006/main"/>
          <a:p xmlns:a="http://schemas.openxmlformats.org/drawingml/2006/main">
            <a:pPr>
              <a:defRPr sz="900" b="0" i="0">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0"/>
        <c:axPos val="l"/>
        <c:majorGridlines>
          <c:spPr>
            <a:ln xmlns:a="http://schemas.openxmlformats.org/drawingml/2006/main" w="9525" cmpd="sng">
              <a:solidFill>
                <a:schemeClr val="tx1">
                  <a:lumMod val="15000"/>
                  <a:lumOff val="85000"/>
                </a:schemeClr>
              </a:solidFill>
              <a:prstDash val="solid"/>
            </a:ln>
          </c:spPr>
        </c:majorGridlines>
        <c:numFmt formatCode="0" sourceLinked="1"/>
        <c:majorTickMark val="none"/>
        <c:minorTickMark val="none"/>
        <c:tickLblPos val="nextTo"/>
        <c:spPr>
          <a:ln xmlns:a="http://schemas.openxmlformats.org/drawingml/2006/main">
            <a:noFill/>
            <a:prstDash val="solid"/>
          </a:ln>
        </c:spPr>
        <c:txPr>
          <a:bodyPr xmlns:a="http://schemas.openxmlformats.org/drawingml/2006/main" rot="-60000000" vert="horz" anchor="ctr" anchorCtr="1"/>
          <a:lstStyle xmlns:a="http://schemas.openxmlformats.org/drawingml/2006/main"/>
          <a:p xmlns:a="http://schemas.openxmlformats.org/drawingml/2006/main">
            <a:pPr>
              <a:defRPr sz="900" b="0" i="0">
                <a:solidFill>
                  <a:schemeClr val="tx1"/>
                </a:solidFill>
                <a:latin typeface="+mn-lt"/>
                <a:ea typeface="+mn-lt"/>
                <a:cs typeface="+mn-lt"/>
              </a:defRPr>
            </a:pPr>
          </a:p>
        </c:txPr>
        <c:crossAx val="48650112"/>
        <c:crosses val="autoZero"/>
        <c:crossBetween val="between"/>
      </c:valAx>
    </c:plotArea>
    <c:legend>
      <c:legendPos val="r"/>
      <c:overlay val="0"/>
      <c:spPr>
        <a:noFill xmlns:a="http://schemas.openxmlformats.org/drawingml/2006/main"/>
        <a:ln xmlns:a="http://schemas.openxmlformats.org/drawingml/2006/main">
          <a:noFill/>
          <a:prstDash val="solid"/>
        </a:ln>
      </c:spPr>
      <c:txPr>
        <a:bodyPr xmlns:a="http://schemas.openxmlformats.org/drawingml/2006/main" rot="0" vert="horz" anchor="ctr" anchorCtr="1"/>
        <a:lstStyle xmlns:a="http://schemas.openxmlformats.org/drawingml/2006/main"/>
        <a:p xmlns:a="http://schemas.openxmlformats.org/drawingml/2006/main">
          <a:pPr>
            <a:defRPr sz="900" b="0" i="0">
              <a:solidFill>
                <a:schemeClr val="tx1"/>
              </a:solidFill>
              <a:latin typeface="+mn-lt"/>
              <a:ea typeface="+mn-lt"/>
              <a:cs typeface="+mn-lt"/>
            </a:defRPr>
          </a:pPr>
        </a:p>
      </c:txPr>
    </c:legend>
    <c:plotVisOnly val="1"/>
    <c:dispBlanksAs val="gap"/>
  </c:chart>
  <c:spPr>
    <a:solidFill xmlns:a="http://schemas.openxmlformats.org/drawingml/2006/main">
      <a:schemeClr val="bg1"/>
    </a:solidFill>
    <a:ln xmlns:a="http://schemas.openxmlformats.org/drawingml/2006/main" w="9525" cmpd="sng">
      <a:solidFill>
        <a:schemeClr val="tx1">
          <a:lumMod val="15000"/>
          <a:lumOff val="85000"/>
        </a:schemeClr>
      </a:solidFill>
      <a:prstDash val="solid"/>
    </a:ln>
  </c:spPr>
</c:chartSpace>
</file>

<file path=xl/drawings/charts/chart5.xml><?xml version="1.0" encoding="utf-8"?>
<c:chartSpace xmlns:c="http://schemas.openxmlformats.org/drawingml/2006/chart">
  <c:lang val="en-US"/>
  <c:chart>
    <c:title>
      <c:tx>
        <c:rich>
          <a:bodyPr xmlns:a="http://schemas.openxmlformats.org/drawingml/2006/main"/>
          <a:lstStyle xmlns:a="http://schemas.openxmlformats.org/drawingml/2006/main"/>
          <a:p xmlns:a="http://schemas.openxmlformats.org/drawingml/2006/main">
            <a:r>
              <a:rPr sz="1400" b="0" i="0" spc="0">
                <a:solidFill>
                  <a:schemeClr val="tx1"/>
                </a:solidFill>
                <a:latin typeface="+mn-lt"/>
                <a:ea typeface="+mn-lt"/>
                <a:cs typeface="+mn-lt"/>
              </a:rPr>
              <a:t>Title</a:t>
            </a:r>
          </a:p>
        </c:rich>
      </c:tx>
      <c:overlay val="0"/>
      <c:txPr>
        <a:bodyPr xmlns:a="http://schemas.openxmlformats.org/drawingml/2006/main" rot="0" vert="horz" anchor="ctr" anchorCtr="1"/>
        <a:lstStyle xmlns:a="http://schemas.openxmlformats.org/drawingml/2006/main"/>
        <a:p xmlns:a="http://schemas.openxmlformats.org/drawingml/2006/main">
          <a:pPr>
            <a:defRPr sz="1400" b="0" i="0" spc="0">
              <a:solidFill>
                <a:schemeClr val="tx1"/>
              </a:solidFill>
              <a:latin typeface="+mn-lt"/>
              <a:ea typeface="+mn-lt"/>
              <a:cs typeface="+mn-lt"/>
            </a:defRPr>
          </a:pPr>
        </a:p>
      </c:txPr>
    </c:title>
    <c:autoTitleDeleted val="0"/>
    <c:plotArea>
      <c:layout/>
      <c:doughnutChart>
        <c:varyColors val="1"/>
        <c:ser>
          <c:idx val="0"/>
          <c:order val="0"/>
          <c:tx>
            <c:strRef>
              <c:f>CGI!$O$21</c:f>
              <c:strCache>
                <c:ptCount val="1"/>
                <c:pt idx="0">
                  <c:v>Sales</c:v>
                </c:pt>
              </c:strCache>
            </c:strRef>
          </c:tx>
          <c:spPr>
            <a:ln xmlns:a="http://schemas.openxmlformats.org/drawingml/2006/main">
              <a:prstDash val="solid"/>
            </a:ln>
          </c:spPr>
          <c:dPt>
            <c:idx val="0"/>
            <c:spPr>
              <a:solidFill xmlns:a="http://schemas.openxmlformats.org/drawingml/2006/main">
                <a:schemeClr val="tx2"/>
              </a:solidFill>
              <a:ln xmlns:a="http://schemas.openxmlformats.org/drawingml/2006/main" w="19050">
                <a:solidFill>
                  <a:schemeClr val="lt1"/>
                </a:solidFill>
                <a:prstDash val="solid"/>
              </a:ln>
            </c:spPr>
          </c:dPt>
          <c:dPt>
            <c:idx val="1"/>
            <c:spPr>
              <a:solidFill xmlns:a="http://schemas.openxmlformats.org/drawingml/2006/main">
                <a:schemeClr val="accent1"/>
              </a:solidFill>
              <a:ln xmlns:a="http://schemas.openxmlformats.org/drawingml/2006/main" w="19050">
                <a:solidFill>
                  <a:schemeClr val="lt1"/>
                </a:solidFill>
                <a:prstDash val="solid"/>
              </a:ln>
            </c:spPr>
          </c:dPt>
          <c:dPt>
            <c:idx val="2"/>
            <c:spPr>
              <a:solidFill xmlns:a="http://schemas.openxmlformats.org/drawingml/2006/main">
                <a:srgbClr val="6E3FED"/>
              </a:solidFill>
              <a:ln xmlns:a="http://schemas.openxmlformats.org/drawingml/2006/main" w="19050">
                <a:solidFill>
                  <a:schemeClr val="lt1"/>
                </a:solidFill>
                <a:prstDash val="solid"/>
              </a:ln>
            </c:spPr>
          </c:dPt>
          <c:dPt>
            <c:idx val="3"/>
            <c:spPr>
              <a:solidFill xmlns:a="http://schemas.openxmlformats.org/drawingml/2006/main">
                <a:schemeClr val="accent2"/>
              </a:solidFill>
              <a:ln xmlns:a="http://schemas.openxmlformats.org/drawingml/2006/main" w="19050">
                <a:solidFill>
                  <a:schemeClr val="lt1"/>
                </a:solidFill>
                <a:prstDash val="solid"/>
              </a:ln>
            </c:spPr>
          </c:dPt>
          <c:dPt>
            <c:idx val="4"/>
            <c:spPr>
              <a:solidFill xmlns:a="http://schemas.openxmlformats.org/drawingml/2006/main">
                <a:srgbClr val="BFB5F9"/>
              </a:solidFill>
              <a:ln xmlns:a="http://schemas.openxmlformats.org/drawingml/2006/main" w="19050">
                <a:solidFill>
                  <a:schemeClr val="lt1"/>
                </a:solidFill>
                <a:prstDash val="solid"/>
              </a:ln>
            </c:spPr>
          </c:dPt>
          <c:dPt>
            <c:idx val="5"/>
            <c:spPr>
              <a:solidFill xmlns:a="http://schemas.openxmlformats.org/drawingml/2006/main">
                <a:schemeClr val="accent3"/>
              </a:solidFill>
              <a:ln xmlns:a="http://schemas.openxmlformats.org/drawingml/2006/main" w="19050">
                <a:solidFill>
                  <a:schemeClr val="lt1"/>
                </a:solidFill>
                <a:prstDash val="solid"/>
              </a:ln>
            </c:spPr>
          </c:dPt>
          <c:dPt>
            <c:idx val="6"/>
            <c:spPr>
              <a:solidFill xmlns:a="http://schemas.openxmlformats.org/drawingml/2006/main">
                <a:srgbClr val="E6E3F3"/>
              </a:solidFill>
              <a:ln xmlns:a="http://schemas.openxmlformats.org/drawingml/2006/main" w="19050">
                <a:solidFill>
                  <a:schemeClr val="lt1"/>
                </a:solidFill>
                <a:prstDash val="solid"/>
              </a:ln>
            </c:spPr>
          </c:dPt>
          <c:dPt>
            <c:idx val="7"/>
            <c:spPr>
              <a:solidFill xmlns:a="http://schemas.openxmlformats.org/drawingml/2006/main">
                <a:schemeClr val="accent6"/>
              </a:solidFill>
              <a:ln xmlns:a="http://schemas.openxmlformats.org/drawingml/2006/main" w="19050">
                <a:solidFill>
                  <a:schemeClr val="lt1"/>
                </a:solidFill>
                <a:prstDash val="solid"/>
              </a:ln>
            </c:spPr>
          </c:dPt>
          <c:dPt>
            <c:idx val="8"/>
            <c:spPr>
              <a:solidFill xmlns:a="http://schemas.openxmlformats.org/drawingml/2006/main">
                <a:schemeClr val="accent5"/>
              </a:solidFill>
              <a:ln xmlns:a="http://schemas.openxmlformats.org/drawingml/2006/main" w="19050">
                <a:solidFill>
                  <a:schemeClr val="lt1"/>
                </a:solidFill>
                <a:prstDash val="solid"/>
              </a:ln>
            </c:spPr>
          </c:dPt>
          <c:dPt>
            <c:idx val="9"/>
            <c:spPr>
              <a:solidFill xmlns:a="http://schemas.openxmlformats.org/drawingml/2006/main">
                <a:schemeClr val="accent4"/>
              </a:solidFill>
              <a:ln xmlns:a="http://schemas.openxmlformats.org/drawingml/2006/main" w="19050">
                <a:solidFill>
                  <a:schemeClr val="lt1"/>
                </a:solidFill>
                <a:prstDash val="solid"/>
              </a:ln>
            </c:spPr>
          </c:dPt>
          <c:dPt>
            <c:idx val="10"/>
            <c:spPr>
              <a:solidFill xmlns:a="http://schemas.openxmlformats.org/drawingml/2006/main">
                <a:srgbClr val="FF6A00"/>
              </a:solidFill>
              <a:ln xmlns:a="http://schemas.openxmlformats.org/drawingml/2006/main" w="19050">
                <a:solidFill>
                  <a:schemeClr val="lt1"/>
                </a:solidFill>
                <a:prstDash val="solid"/>
              </a:ln>
            </c:spPr>
          </c:dPt>
          <c:dPt>
            <c:idx val="11"/>
            <c:spPr>
              <a:solidFill xmlns:a="http://schemas.openxmlformats.org/drawingml/2006/main">
                <a:srgbClr val="FF7362"/>
              </a:solidFill>
              <a:ln xmlns:a="http://schemas.openxmlformats.org/drawingml/2006/main" w="19050">
                <a:solidFill>
                  <a:schemeClr val="lt1"/>
                </a:solidFill>
                <a:prstDash val="solid"/>
              </a:ln>
            </c:spPr>
          </c:dPt>
          <c:dPt>
            <c:idx val="12"/>
            <c:spPr>
              <a:solidFill xmlns:a="http://schemas.openxmlformats.org/drawingml/2006/main">
                <a:srgbClr val="FF978A"/>
              </a:solidFill>
              <a:ln xmlns:a="http://schemas.openxmlformats.org/drawingml/2006/main" w="19050">
                <a:solidFill>
                  <a:schemeClr val="lt1"/>
                </a:solidFill>
                <a:prstDash val="solid"/>
              </a:ln>
            </c:spPr>
          </c:dPt>
          <c:dPt>
            <c:idx val="13"/>
            <c:spPr>
              <a:solidFill xmlns:a="http://schemas.openxmlformats.org/drawingml/2006/main">
                <a:srgbClr val="FFCDD2"/>
              </a:solidFill>
              <a:ln xmlns:a="http://schemas.openxmlformats.org/drawingml/2006/main" w="19050">
                <a:solidFill>
                  <a:schemeClr val="lt1"/>
                </a:solidFill>
                <a:prstDash val="solid"/>
              </a:ln>
            </c:spPr>
          </c:dPt>
          <c:dLbls>
            <c:spPr>
              <a:noFill xmlns:a="http://schemas.openxmlformats.org/drawingml/2006/main"/>
              <a:ln xmlns:a="http://schemas.openxmlformats.org/drawingml/2006/main">
                <a:noFill/>
                <a:prstDash val="solid"/>
              </a:ln>
            </c:spPr>
            <c:txPr>
              <a:bodyPr xmlns:a="http://schemas.openxmlformats.org/drawingml/2006/main" anchorCtr="1"/>
              <a:lstStyle xmlns:a="http://schemas.openxmlformats.org/drawingml/2006/main"/>
              <a:p xmlns:a="http://schemas.openxmlformats.org/drawingml/2006/main">
                <a:pPr>
                  <a:defRPr sz="900" b="0" i="0">
                    <a:solidFill>
                      <a:schemeClr val="bg1"/>
                    </a:solidFill>
                    <a:latin typeface="+mn-lt"/>
                    <a:ea typeface="+mn-lt"/>
                    <a:cs typeface="+mn-lt"/>
                  </a:defRPr>
                </a:pPr>
              </a:p>
            </c:txPr>
            <c:showLegendKey val="0"/>
            <c:showVal val="1"/>
            <c:showCatName val="0"/>
            <c:showSerName val="0"/>
            <c:showPercent val="0"/>
            <c:showBubbleSize val="0"/>
            <c:showLeaderLines val="0"/>
          </c:dLbls>
          <c:cat>
            <c:strRef>
              <c:f>CGI!$O$22:$O$35</c:f>
              <c:strCache>
                <c:ptCount val="14"/>
                <c:pt idx="0">
                  <c:v>A. Item 1</c:v>
                </c:pt>
                <c:pt idx="1">
                  <c:v>B. Item 2</c:v>
                </c:pt>
                <c:pt idx="2">
                  <c:v>C. Item 3</c:v>
                </c:pt>
                <c:pt idx="3">
                  <c:v>D. Item 4</c:v>
                </c:pt>
                <c:pt idx="4">
                  <c:v>E. Item 5</c:v>
                </c:pt>
                <c:pt idx="5">
                  <c:v>F. Item 6</c:v>
                </c:pt>
                <c:pt idx="6">
                  <c:v>G. Item 7</c:v>
                </c:pt>
                <c:pt idx="7">
                  <c:v>H. Item 8</c:v>
                </c:pt>
                <c:pt idx="8">
                  <c:v>I. Item 9</c:v>
                </c:pt>
                <c:pt idx="9">
                  <c:v>J. Item 10</c:v>
                </c:pt>
                <c:pt idx="10">
                  <c:v>K. Item 11</c:v>
                </c:pt>
                <c:pt idx="11">
                  <c:v>L. Item 12</c:v>
                </c:pt>
                <c:pt idx="12">
                  <c:v>M. Item 13</c:v>
                </c:pt>
                <c:pt idx="13">
                  <c:v>N. Item 14</c:v>
                </c:pt>
              </c:strCache>
            </c:strRef>
          </c:cat>
          <c:val>
            <c:numRef>
              <c:f>CGI!$P$22:$P$35</c:f>
              <c:numCache>
                <c:formatCode>0%</c:formatCode>
                <c:ptCount val="14"/>
                <c:pt idx="0">
                  <c:v>0.07</c:v>
                </c:pt>
                <c:pt idx="1">
                  <c:v>0.07</c:v>
                </c:pt>
                <c:pt idx="2">
                  <c:v>0.07</c:v>
                </c:pt>
                <c:pt idx="3">
                  <c:v>0.07</c:v>
                </c:pt>
                <c:pt idx="4">
                  <c:v>0.07</c:v>
                </c:pt>
                <c:pt idx="5">
                  <c:v>0.07</c:v>
                </c:pt>
                <c:pt idx="6">
                  <c:v>0.07</c:v>
                </c:pt>
                <c:pt idx="7">
                  <c:v>0.07</c:v>
                </c:pt>
                <c:pt idx="8">
                  <c:v>0.07</c:v>
                </c:pt>
                <c:pt idx="9">
                  <c:v>0.07</c:v>
                </c:pt>
                <c:pt idx="10">
                  <c:v>0.07</c:v>
                </c:pt>
                <c:pt idx="11">
                  <c:v>0.07</c:v>
                </c:pt>
                <c:pt idx="12">
                  <c:v>0.07</c:v>
                </c:pt>
                <c:pt idx="13">
                  <c:v>0.07</c:v>
                </c:pt>
              </c:numCache>
            </c:numRef>
          </c:val>
        </c:ser>
        <c:dLbls>
          <c:showLegendKey val="0"/>
          <c:showVal val="0"/>
          <c:showCatName val="0"/>
          <c:showSerName val="0"/>
          <c:showPercent val="1"/>
          <c:showBubbleSize val="0"/>
          <c:showLeaderLines val="0"/>
        </c:dLbls>
        <c:firstSliceAng val="0"/>
        <c:holeSize val="50"/>
      </c:doughnutChart>
    </c:plotArea>
    <c:legend>
      <c:legendPos val="r"/>
      <c:overlay val="0"/>
      <c:spPr>
        <a:noFill xmlns:a="http://schemas.openxmlformats.org/drawingml/2006/main"/>
        <a:ln xmlns:a="http://schemas.openxmlformats.org/drawingml/2006/main">
          <a:noFill/>
          <a:prstDash val="solid"/>
        </a:ln>
      </c:spPr>
      <c:txPr>
        <a:bodyPr xmlns:a="http://schemas.openxmlformats.org/drawingml/2006/main" rot="0" vert="horz" anchor="ctr" anchorCtr="1"/>
        <a:lstStyle xmlns:a="http://schemas.openxmlformats.org/drawingml/2006/main"/>
        <a:p xmlns:a="http://schemas.openxmlformats.org/drawingml/2006/main">
          <a:pPr>
            <a:defRPr sz="900" b="0" i="0">
              <a:solidFill>
                <a:schemeClr val="tx1"/>
              </a:solidFill>
              <a:latin typeface="+mn-lt"/>
              <a:ea typeface="+mn-lt"/>
              <a:cs typeface="+mn-lt"/>
            </a:defRPr>
          </a:pPr>
        </a:p>
      </c:txPr>
    </c:legend>
    <c:plotVisOnly val="1"/>
    <c:dispBlanksAs val="gap"/>
  </c:chart>
  <c:spPr>
    <a:solidFill xmlns:a="http://schemas.openxmlformats.org/drawingml/2006/main">
      <a:schemeClr val="bg1"/>
    </a:solidFill>
    <a:ln xmlns:a="http://schemas.openxmlformats.org/drawingml/2006/main" w="9525" cmpd="sng">
      <a:solidFill>
        <a:schemeClr val="tx1">
          <a:lumMod val="15000"/>
          <a:lumOff val="85000"/>
        </a:schemeClr>
      </a:solidFill>
      <a:prstDash val="solid"/>
    </a:ln>
  </c:spPr>
</c:chartSpace>
</file>

<file path=xl/drawings/drawing1.xml><?xml version="1.0" encoding="utf-8"?>
<xdr:wsDr xmlns:xdr="http://schemas.openxmlformats.org/drawingml/2006/spreadsheetDrawing">
  <xdr:twoCellAnchor>
    <xdr:from>
      <xdr:col>0</xdr:col>
      <xdr:colOff>0</xdr:colOff>
      <xdr:row>5</xdr:row>
      <xdr:rowOff>159646</xdr:rowOff>
    </xdr:from>
    <xdr:to>
      <xdr:col>6</xdr:col>
      <xdr:colOff>0</xdr:colOff>
      <xdr:row>19</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fdf145a39ce4e31"/>
        </a:graphicData>
      </a:graphic>
    </xdr:graphicFrame>
    <xdr:clientData/>
  </xdr:twoCellAnchor>
  <xdr:twoCellAnchor>
    <xdr:from>
      <xdr:col>0</xdr:col>
      <xdr:colOff>0</xdr:colOff>
      <xdr:row>23</xdr:row>
      <xdr:rowOff>1241</xdr:rowOff>
    </xdr:from>
    <xdr:to>
      <xdr:col>6</xdr:col>
      <xdr:colOff>0</xdr:colOff>
      <xdr:row>35</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239446ec15d4bfa"/>
        </a:graphicData>
      </a:graphic>
    </xdr:graphicFrame>
    <xdr:clientData/>
  </xdr:twoCellAnchor>
  <xdr:twoCellAnchor>
    <xdr:from>
      <xdr:col>7</xdr:col>
      <xdr:colOff>2930</xdr:colOff>
      <xdr:row>5</xdr:row>
      <xdr:rowOff>159646</xdr:rowOff>
    </xdr:from>
    <xdr:to>
      <xdr:col>12</xdr:col>
      <xdr:colOff>0</xdr:colOff>
      <xdr:row>19</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ddf661cbe284898"/>
        </a:graphicData>
      </a:graphic>
    </xdr:graphicFrame>
    <xdr:clientData/>
  </xdr:twoCellAnchor>
  <xdr:twoCellAnchor>
    <xdr:from>
      <xdr:col>14</xdr:col>
      <xdr:colOff>138546</xdr:colOff>
      <xdr:row>3</xdr:row>
      <xdr:rowOff>4762</xdr:rowOff>
    </xdr:from>
    <xdr:to>
      <xdr:col>25</xdr:col>
      <xdr:colOff>468085</xdr:colOff>
      <xdr:row>18</xdr:row>
      <xdr:rowOff>105793</xdr:rowOff>
    </xdr:to>
    <xdr:graphicFrame macro="">
      <xdr:nvGraphicFramePr>
        <xdr:cNvPr id="4"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164b0eec0844a61"/>
        </a:graphicData>
      </a:graphic>
    </xdr:graphicFrame>
    <xdr:clientData/>
  </xdr:twoCellAnchor>
  <xdr:twoCellAnchor>
    <xdr:from>
      <xdr:col>16</xdr:col>
      <xdr:colOff>468087</xdr:colOff>
      <xdr:row>19</xdr:row>
      <xdr:rowOff>141514</xdr:rowOff>
    </xdr:from>
    <xdr:to>
      <xdr:col>25</xdr:col>
      <xdr:colOff>468086</xdr:colOff>
      <xdr:row>34</xdr:row>
      <xdr:rowOff>141514</xdr:rowOff>
    </xdr:to>
    <xdr:graphicFrame macro="">
      <xdr:nvGraphicFramePr>
        <xdr:cNvPr id="5"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9d7ee95b03746bd"/>
        </a:graphicData>
      </a:graphic>
    </xdr:graphicFrame>
    <xdr:clientData/>
  </xdr:twoCellAnchor>
</xdr:wsDr>
</file>

<file path=xl/theme/theme1.xml><?xml version="1.0" encoding="utf-8"?>
<a:theme xmlns:a="http://schemas.openxmlformats.org/drawingml/2006/main" name="CGI colors 2024">
  <a:themeElements>
    <a:clrScheme name="CGI colors 2024">
      <a:dk1>
        <a:sysClr val="windowText" lastClr="000000"/>
      </a:dk1>
      <a:lt1>
        <a:sysClr val="window" lastClr="FFFFFF"/>
      </a:lt1>
      <a:dk2>
        <a:srgbClr val="200A58"/>
      </a:dk2>
      <a:lt2>
        <a:srgbClr val="EEEEEE"/>
      </a:lt2>
      <a:accent1>
        <a:srgbClr val="5236AB"/>
      </a:accent1>
      <a:accent2>
        <a:srgbClr val="9E83F5"/>
      </a:accent2>
      <a:accent3>
        <a:srgbClr val="CBC3E6"/>
      </a:accent3>
      <a:accent4>
        <a:srgbClr val="E31937"/>
      </a:accent4>
      <a:accent5>
        <a:srgbClr val="991F3D"/>
      </a:accent5>
      <a:accent6>
        <a:srgbClr val="650A21"/>
      </a:accent6>
      <a:hlink>
        <a:srgbClr val="5236AB"/>
      </a:hlink>
      <a:folHlink>
        <a:srgbClr val="5236AB"/>
      </a:folHlink>
    </a:clrScheme>
    <a:fontScheme name="Office">
      <a:majorFont>
        <a:latin typeface="Calibri"/>
        <a:ea typeface="Calibri"/>
        <a:cs typeface="Calibri"/>
      </a:majorFont>
      <a:minorFont>
        <a:latin typeface="Calibri"/>
        <a:ea typeface="Calibri"/>
        <a:cs typeface="Calibri"/>
      </a:minorFont>
    </a:fontScheme>
    <a:fmtScheme name="CGI colors 2024">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drawing" Target="/xl/drawings/drawing1.xml" Id="Reaa59a6a0e87418d" /></Relationships>
</file>

<file path=xl/worksheets/sheet1.xml><?xml version="1.0" encoding="utf-8"?>
<x:worksheet xmlns:x="http://schemas.openxmlformats.org/spreadsheetml/2006/main">
  <x:sheetViews>
    <x:sheetView showGridLines="0" workbookViewId="0"/>
  </x:sheetViews>
  <x:sheetFormatPr baseColWidth="8" defaultColWidth="9.140625" defaultRowHeight="18"/>
  <x:cols>
    <x:col min="1" max="1" width="3.140625" style="57" customWidth="1"/>
    <x:col min="2" max="2" width="9.5703125" style="57" customWidth="1"/>
    <x:col min="3" max="3" width="16.5703125" style="57" customWidth="1"/>
    <x:col min="4" max="4" width="9.5703125" style="57" customWidth="1"/>
    <x:col min="5" max="5" width="33.5703125" style="57" customWidth="1"/>
    <x:col min="6" max="6" width="15.42578125" style="57" customWidth="1"/>
  </x:cols>
  <x:sheetData>
    <x:row r="3" s="57" customFormat="1" ht="18" customHeight="1">
      <x:c r="B3" s="47" t="inlineStr">
        <x:is>
          <x:t xml:space="preserve"/>
        </x:is>
      </x:c>
    </x:row>
    <x:row r="4" s="57" customFormat="1" ht="18" customHeight="1"/>
    <x:row r="5" s="57" customFormat="1" ht="18" customHeight="1">
      <x:c r="B5" s="47" t="n"/>
    </x:row>
    <x:row r="7" s="57" customFormat="1" ht="18" customHeight="1">
      <x:c r="B7" s="58" t="inlineStr">
        <x:is>
          <x:t xml:space="preserve">UPMS Problem Management Performance Dashboard</x:t>
        </x:is>
      </x:c>
      <x:c r="C7" s="59" t="n"/>
      <x:c r="D7" s="59" t="n"/>
      <x:c r="E7" s="59" t="n"/>
      <x:c r="F7" s="60" t="n"/>
    </x:row>
    <x:row r="8" s="57" customFormat="1" ht="18" customHeight="1">
      <x:c r="B8" s="61" t="n"/>
      <x:c r="C8" s="62" t="n"/>
      <x:c r="D8" s="62" t="n"/>
      <x:c r="E8" s="62" t="n"/>
      <x:c r="F8" s="63" t="n"/>
    </x:row>
    <x:row r="9" s="20" customFormat="1" ht="18" customHeight="1">
      <x:c r="B9" s="33" t="inlineStr">
        <x:is>
          <x:t xml:space="preserve">Lifecycle phase</x:t>
        </x:is>
      </x:c>
      <x:c r="C9" s="64" t="n"/>
      <x:c r="D9" s="65" t="inlineStr">
        <x:is>
          <x:t xml:space="preserve">Service excellence / problem management</x:t>
        </x:is>
      </x:c>
      <x:c r="E9" s="64" t="n"/>
      <x:c r="F9" s="66" t="n"/>
    </x:row>
    <x:row r="10" s="20" customFormat="1" ht="18" customHeight="1">
      <x:c r="B10" s="33" t="inlineStr">
        <x:is>
          <x:t xml:space="preserve">Report scope</x:t>
        </x:is>
      </x:c>
      <x:c r="C10" s="64" t="n"/>
      <x:c r="D10" s="67" t="inlineStr">
        <x:is>
          <x:t xml:space="preserve">Cross-contract / multi-company</x:t>
        </x:is>
      </x:c>
      <x:c r="E10" s="64" t="n"/>
      <x:c r="F10" s="66" t="n"/>
    </x:row>
    <x:row r="11" s="20" customFormat="1" ht="18" customHeight="1">
      <x:c r="B11" s="33" t="inlineStr">
        <x:is>
          <x:t xml:space="preserve">Reporting month</x:t>
        </x:is>
      </x:c>
      <x:c r="C11" s="64" t="n"/>
      <x:c r="D11" s="67" t="inlineStr">
        <x:is>
          <x:t xml:space="preserve">[replace with reporting month]</x:t>
        </x:is>
      </x:c>
      <x:c r="E11" s="64" t="n"/>
      <x:c r="F11" s="66" t="n"/>
    </x:row>
    <x:row r="12" s="20" customFormat="1" ht="18" customHeight="1">
      <x:c r="B12" s="33" t="inlineStr">
        <x:is>
          <x:t xml:space="preserve">Prepared by</x:t>
        </x:is>
      </x:c>
      <x:c r="C12" s="64" t="n"/>
      <x:c r="D12" s="68" t="inlineStr">
        <x:is>
          <x:t xml:space="preserve">[owner / PMO]</x:t>
        </x:is>
      </x:c>
      <x:c r="E12" s="64" t="n"/>
      <x:c r="F12" s="66" t="n"/>
    </x:row>
    <x:row r="13" s="20" customFormat="1" ht="18" customHeight="1">
      <x:c r="B13" s="33" t="inlineStr">
        <x:is>
          <x:t xml:space="preserve">Refresh cadence</x:t>
        </x:is>
      </x:c>
      <x:c r="C13" s="64" t="n"/>
      <x:c r="D13" s="69" t="inlineStr">
        <x:is>
          <x:t xml:space="preserve">Monthly</x:t>
        </x:is>
      </x:c>
      <x:c r="E13" s="64" t="n"/>
      <x:c r="F13" s="66" t="n"/>
    </x:row>
    <x:row r="14" s="20" customFormat="1" ht="42" customHeight="1">
      <x:c r="B14" s="33" t="inlineStr">
        <x:is>
          <x:t xml:space="preserve">Usage</x:t>
        </x:is>
      </x:c>
      <x:c r="C14" s="64" t="n"/>
      <x:c r="D14" s="70" t="inlineStr">
        <x:is>
          <x:t xml:space="preserve">Replace the starter rows on the Data sheet with one row per contract or customer. Sort the rows in the order you want highlighted on the dashboard charts. The Dashboard helper cells and charts update automatically.</x:t>
        </x:is>
      </x:c>
      <x:c r="E14" s="64" t="n"/>
      <x:c r="F14" s="66" t="n"/>
    </x:row>
    <x:row r="15" s="57" customFormat="1" ht="18" customHeight="1">
      <x:c r="B15" s="47" t="n"/>
      <x:c r="C15" s="47" t="n"/>
      <x:c r="D15" s="47" t="n"/>
      <x:c r="E15" s="47" t="n"/>
      <x:c r="F15" s="47" t="n"/>
    </x:row>
    <x:row r="16" s="57" customFormat="1" ht="18" customHeight="1">
      <x:c r="B16" s="47" t="n"/>
      <x:c r="C16" s="47" t="n"/>
      <x:c r="D16" s="47" t="n"/>
      <x:c r="E16" s="47" t="n"/>
      <x:c r="F16" s="47" t="n"/>
    </x:row>
    <x:row r="18" s="57" customFormat="1" ht="18" customHeight="1">
      <x:c r="B18" s="71" t="inlineStr">
        <x:is>
          <x:t xml:space="preserve">Version control (optional)</x:t>
        </x:is>
      </x:c>
      <x:c r="C18" s="72" t="n"/>
      <x:c r="D18" s="72" t="n"/>
      <x:c r="E18" s="72" t="n"/>
      <x:c r="F18" s="72" t="n"/>
      <x:c r="G18" s="21" t="n"/>
    </x:row>
    <x:row r="19" s="57" customFormat="1" ht="18" customHeight="1">
      <x:c r="B19" s="22" t="inlineStr">
        <x:is>
          <x:t xml:space="preserve">Version</x:t>
        </x:is>
      </x:c>
      <x:c r="C19" s="22" t="inlineStr">
        <x:is>
          <x:t xml:space="preserve">Date</x:t>
        </x:is>
      </x:c>
      <x:c r="D19" s="23" t="inlineStr">
        <x:is>
          <x:t xml:space="preserve">Owner</x:t>
        </x:is>
      </x:c>
      <x:c r="E19" s="23" t="inlineStr">
        <x:is>
          <x:t xml:space="preserve">Changes since previous version</x:t>
        </x:is>
      </x:c>
      <x:c r="F19" s="23" t="inlineStr">
        <x:is>
          <x:t xml:space="preserve">Status</x:t>
        </x:is>
      </x:c>
      <x:c r="G19" s="21" t="n"/>
    </x:row>
    <x:row r="20" s="20" customFormat="1" ht="18" customHeight="1">
      <x:c r="B20" s="73" t="inlineStr">
        <x:is>
          <x:t xml:space="preserve">0.1</x:t>
        </x:is>
      </x:c>
      <x:c r="C20" s="74" t="inlineStr">
        <x:is>
          <x:t xml:space="preserve"/>
        </x:is>
      </x:c>
      <x:c r="D20" s="75" t="inlineStr">
        <x:is>
          <x:t xml:space="preserve"/>
        </x:is>
      </x:c>
      <x:c r="E20" s="75" t="inlineStr">
        <x:is>
          <x:t xml:space="preserve">Starter dashboard structure</x:t>
        </x:is>
      </x:c>
      <x:c r="F20" s="75" t="inlineStr">
        <x:is>
          <x:t xml:space="preserve">Draft</x:t>
        </x:is>
      </x:c>
      <x:c r="G20" s="27" t="n"/>
    </x:row>
    <x:row r="21" s="20" customFormat="1" ht="18" customHeight="1">
      <x:c r="B21" s="76" t="inlineStr">
        <x:is>
          <x:t xml:space="preserve">0.2</x:t>
        </x:is>
      </x:c>
      <x:c r="C21" s="77" t="inlineStr">
        <x:is>
          <x:t xml:space="preserve"/>
        </x:is>
      </x:c>
      <x:c r="D21" s="78" t="inlineStr">
        <x:is>
          <x:t xml:space="preserve"/>
        </x:is>
      </x:c>
      <x:c r="E21" s="78" t="inlineStr">
        <x:is>
          <x:t xml:space="preserve">Cross-contract metric mapping and charts</x:t>
        </x:is>
      </x:c>
      <x:c r="F21" s="78" t="inlineStr">
        <x:is>
          <x:t xml:space="preserve">Draft</x:t>
        </x:is>
      </x:c>
      <x:c r="G21" s="27" t="n"/>
    </x:row>
    <x:row r="22" s="20" customFormat="1" ht="18" customHeight="1">
      <x:c r="B22" s="79" t="inlineStr">
        <x:is>
          <x:t xml:space="preserve">1.0</x:t>
        </x:is>
      </x:c>
      <x:c r="C22" s="77" t="inlineStr">
        <x:is>
          <x:t xml:space="preserve"/>
        </x:is>
      </x:c>
      <x:c r="D22" s="78" t="inlineStr">
        <x:is>
          <x:t xml:space="preserve"/>
        </x:is>
      </x:c>
      <x:c r="E22" s="80" t="inlineStr">
        <x:is>
          <x:t xml:space="preserve">Ready for monthly refresh</x:t>
        </x:is>
      </x:c>
      <x:c r="F22" s="78" t="inlineStr">
        <x:is>
          <x:t xml:space="preserve">Approved</x:t>
        </x:is>
      </x:c>
      <x:c r="G22" s="27" t="n"/>
    </x:row>
    <x:row r="23" s="20" customFormat="1" ht="18" customHeight="1">
      <x:c r="B23" s="76" t="inlineStr">
        <x:is>
          <x:t xml:space="preserve">1.1</x:t>
        </x:is>
      </x:c>
      <x:c r="C23" s="77" t="inlineStr">
        <x:is>
          <x:t xml:space="preserve"/>
        </x:is>
      </x:c>
      <x:c r="D23" s="78" t="inlineStr">
        <x:is>
          <x:t xml:space="preserve"/>
        </x:is>
      </x:c>
      <x:c r="E23" s="80" t="inlineStr">
        <x:is>
          <x:t xml:space="preserve"/>
        </x:is>
      </x:c>
      <x:c r="F23" s="78" t="inlineStr">
        <x:is>
          <x:t xml:space="preserve"/>
        </x:is>
      </x:c>
      <x:c r="G23" s="27" t="n"/>
    </x:row>
    <x:row r="24" s="57" customFormat="1" ht="18" customHeight="1">
      <x:c r="B24" s="21" t="n"/>
      <x:c r="C24" s="21" t="n"/>
      <x:c r="D24" s="21" t="n"/>
      <x:c r="E24" s="21" t="n"/>
      <x:c r="F24" s="21" t="n"/>
      <x:c r="G24" s="21" t="n"/>
    </x:row>
  </x:sheetData>
  <x:mergeCells>
    <x:mergeCell ref="B13:C13"/>
    <x:mergeCell ref="D13:F13"/>
    <x:mergeCell ref="D14:F14"/>
    <x:mergeCell ref="D11:F11"/>
    <x:mergeCell ref="B7:F8"/>
    <x:mergeCell ref="B11:C11"/>
    <x:mergeCell ref="D10:F10"/>
    <x:mergeCell ref="B3:B4"/>
    <x:mergeCell ref="B10:C10"/>
    <x:mergeCell ref="D12:F12"/>
    <x:mergeCell ref="D9:F9"/>
    <x:mergeCell ref="B14:C14"/>
    <x:mergeCell ref="B9:C9"/>
    <x:mergeCell ref="B18:F18"/>
    <x:mergeCell ref="B12:C12"/>
  </x:mergeCells>
  <x:conditionalFormatting sqref="B7:F8">
    <x:cfRule type="colorScale" priority="1">
      <x:colorScale>
        <x:cfvo type="min"/>
        <x:cfvo type="percentile" val="50"/>
        <x:cfvo type="max"/>
        <x:color theme="7"/>
        <x:color rgb="FFA82465"/>
        <x:color theme="4"/>
      </x:colorScale>
    </x:cfRule>
    <x:cfRule type="dataBar" priority="2">
      <x:dataBar>
        <x:cfvo type="min"/>
        <x:cfvo type="max"/>
        <x:color rgb="FF63C384"/>
      </x:dataBar>
    </x:cfRule>
    <x:cfRule type="colorScale" priority="3">
      <x:colorScale>
        <x:cfvo type="min"/>
        <x:cfvo type="percentile" val="50"/>
        <x:cfvo type="max"/>
        <x:color theme="4"/>
        <x:color rgb="FFA82465"/>
        <x:color theme="7"/>
      </x:colorScale>
    </x:cfRule>
    <x:cfRule type="colorScale" priority="4">
      <x:colorScale>
        <x:cfvo type="min"/>
        <x:cfvo type="percentile" val="50"/>
        <x:cfvo type="max"/>
        <x:color rgb="FFF8696B"/>
        <x:color rgb="FFFFEB84"/>
        <x:color rgb="FF63BE7B"/>
      </x:colorScale>
    </x:cfRule>
  </x:conditionalFormatting>
  <x:dataValidations count="1">
    <x:dataValidation type="list" allowBlank="1" showDropDown="0" showInputMessage="1" showErrorMessage="1" sqref="D9">
      <x:formula1>"Bid, Due Diligance, Transition, Transformation, Service"</x:formula1>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baseColWidth="8" defaultColWidth="10.140625" defaultRowHeight="12.75"/>
  <x:cols>
    <x:col min="1" max="11" width="10.140625" style="1" customWidth="1"/>
    <x:col min="12" max="12" width="15" style="1" customWidth="1"/>
    <x:col min="13" max="14" width="5.42578125" style="1" customWidth="1"/>
    <x:col min="15" max="16384" width="10.140625" style="1" customWidth="1"/>
  </x:cols>
  <x:sheetData>
    <x:row r="1">
      <x:c r="A1" s="6" t="n"/>
      <x:c r="B1" s="81" t="str">
        <x:f>Data!A4</x:f>
        <x:v>Contract A</x:v>
      </x:c>
      <x:c r="C1" s="82" t="str">
        <x:f>Data!A5</x:f>
        <x:v>Contract B</x:v>
      </x:c>
      <x:c r="D1" s="82" t="str">
        <x:f>Data!A6</x:f>
        <x:v>Contract C</x:v>
      </x:c>
      <x:c r="E1" s="82" t="str">
        <x:f>Data!A7</x:f>
        <x:v>Contract D</x:v>
      </x:c>
      <x:c r="F1" s="83" t="str">
        <x:f>Data!A8</x:f>
        <x:v>Contract E</x:v>
      </x:c>
      <x:c r="H1" s="6" t="n"/>
      <x:c r="I1" s="81" t="inlineStr">
        <x:is>
          <x:t xml:space="preserve">Opened</x:t>
        </x:is>
      </x:c>
      <x:c r="J1" s="82" t="inlineStr">
        <x:is>
          <x:t xml:space="preserve">Resolved</x:t>
        </x:is>
      </x:c>
      <x:c r="K1" s="82" t="inlineStr">
        <x:is>
          <x:t xml:space="preserve">Updated</x:t>
        </x:is>
      </x:c>
      <x:c r="L1" s="83" t="inlineStr">
        <x:is>
          <x:t xml:space="preserve">Major</x:t>
        </x:is>
      </x:c>
      <x:c r="M1" s="13" t="n"/>
      <x:c r="N1" s="13" t="n"/>
      <x:c r="O1" s="83" t="inlineStr">
        <x:is>
          <x:t xml:space="preserve">Average age days</x:t>
        </x:is>
      </x:c>
      <x:c r="P1" s="83" t="str">
        <x:f>Data!A4</x:f>
        <x:v>Contract A</x:v>
      </x:c>
      <x:c r="Q1" s="83" t="str">
        <x:f>Data!A5</x:f>
        <x:v>Contract B</x:v>
      </x:c>
      <x:c r="R1" s="83" t="str">
        <x:f>Data!A6</x:f>
        <x:v>Contract C</x:v>
      </x:c>
      <x:c r="S1" s="83" t="str">
        <x:f>Data!A7</x:f>
        <x:v>Contract D</x:v>
      </x:c>
      <x:c r="T1" s="83" t="str">
        <x:f>Data!A8</x:f>
        <x:v>Contract E</x:v>
      </x:c>
      <x:c r="U1" s="83" t="str">
        <x:f>Data!A9</x:f>
        <x:v>Contract F</x:v>
      </x:c>
      <x:c r="V1" s="83" t="str">
        <x:f>Data!A10</x:f>
        <x:v>Contract G</x:v>
      </x:c>
      <x:c r="W1" s="83" t="str">
        <x:f>Data!A11</x:f>
        <x:v>Contract H</x:v>
      </x:c>
      <x:c r="X1" s="83" t="str">
        <x:f>Data!A12</x:f>
        <x:v>Contract I</x:v>
      </x:c>
      <x:c r="Y1" s="83" t="str">
        <x:f>Data!A13</x:f>
        <x:v>Contract J</x:v>
      </x:c>
    </x:row>
    <x:row r="2">
      <x:c r="A2" s="84" t="inlineStr">
        <x:is>
          <x:t xml:space="preserve">Open problems</x:t>
        </x:is>
      </x:c>
      <x:c r="B2" s="85">
        <x:f>Data!B4</x:f>
        <x:v>18</x:v>
      </x:c>
      <x:c r="C2" s="85">
        <x:f>Data!B5</x:f>
        <x:v>12</x:v>
      </x:c>
      <x:c r="D2" s="85">
        <x:f>Data!B6</x:f>
        <x:v>22</x:v>
      </x:c>
      <x:c r="E2" s="85">
        <x:f>Data!B7</x:f>
        <x:v>9</x:v>
      </x:c>
      <x:c r="F2" s="85">
        <x:f>Data!B8</x:f>
        <x:v>15</x:v>
      </x:c>
      <x:c r="H2" s="86" t="str">
        <x:f>Data!A4</x:f>
        <x:v>Contract A</x:v>
      </x:c>
      <x:c r="I2" s="87">
        <x:f>Data!D4</x:f>
        <x:v>4</x:v>
      </x:c>
      <x:c r="J2" s="87">
        <x:f>Data!E4</x:f>
        <x:v>5</x:v>
      </x:c>
      <x:c r="K2" s="87">
        <x:f>Data!F4</x:f>
        <x:v>9</x:v>
      </x:c>
      <x:c r="L2" s="87">
        <x:f>Data!G4</x:f>
        <x:v>2</x:v>
      </x:c>
      <x:c r="M2" s="14" t="n"/>
      <x:c r="N2" s="14" t="n"/>
      <x:c r="O2" s="86" t="inlineStr">
        <x:is>
          <x:t xml:space="preserve">Category</x:t>
        </x:is>
      </x:c>
      <x:c r="P2" s="88">
        <x:f>Data!H4</x:f>
        <x:v>67</x:v>
      </x:c>
      <x:c r="Q2" s="88">
        <x:f>Data!H5</x:f>
        <x:v>52</x:v>
      </x:c>
      <x:c r="R2" s="88">
        <x:f>Data!H6</x:f>
        <x:v>91</x:v>
      </x:c>
      <x:c r="S2" s="88">
        <x:f>Data!H7</x:f>
        <x:v>34</x:v>
      </x:c>
      <x:c r="T2" s="88">
        <x:f>Data!H8</x:f>
        <x:v>58</x:v>
      </x:c>
      <x:c r="U2" s="88">
        <x:f>Data!H9</x:f>
        <x:v>21</x:v>
      </x:c>
      <x:c r="V2" s="88">
        <x:f>Data!H10</x:f>
        <x:v>46</x:v>
      </x:c>
      <x:c r="W2" s="88">
        <x:f>Data!H11</x:f>
        <x:v>29</x:v>
      </x:c>
      <x:c r="X2" s="88">
        <x:f>Data!H12</x:f>
        <x:v>73</x:v>
      </x:c>
      <x:c r="Y2" s="88">
        <x:f>Data!H13</x:f>
        <x:v>26</x:v>
      </x:c>
    </x:row>
    <x:row r="3">
      <x:c r="A3" s="84" t="inlineStr">
        <x:is>
          <x:t xml:space="preserve">High priority</x:t>
        </x:is>
      </x:c>
      <x:c r="B3" s="89">
        <x:f>Data!C4</x:f>
        <x:v>6</x:v>
      </x:c>
      <x:c r="C3" s="89">
        <x:f>Data!C5</x:f>
        <x:v>3</x:v>
      </x:c>
      <x:c r="D3" s="89">
        <x:f>Data!C6</x:f>
        <x:v>8</x:v>
      </x:c>
      <x:c r="E3" s="89">
        <x:f>Data!C7</x:f>
        <x:v>2</x:v>
      </x:c>
      <x:c r="F3" s="89">
        <x:f>Data!C8</x:f>
        <x:v>5</x:v>
      </x:c>
      <x:c r="H3" s="90" t="str">
        <x:f>Data!A5</x:f>
        <x:v>Contract B</x:v>
      </x:c>
      <x:c r="I3" s="91">
        <x:f>Data!D5</x:f>
        <x:v>2</x:v>
      </x:c>
      <x:c r="J3" s="91">
        <x:f>Data!E5</x:f>
        <x:v>1</x:v>
      </x:c>
      <x:c r="K3" s="91">
        <x:f>Data!F5</x:f>
        <x:v>5</x:v>
      </x:c>
      <x:c r="L3" s="91">
        <x:f>Data!G5</x:f>
        <x:v>1</x:v>
      </x:c>
      <x:c r="M3" s="14" t="n"/>
      <x:c r="N3" s="14" t="n"/>
    </x:row>
    <x:row r="4">
      <x:c r="A4" s="84" t="inlineStr">
        <x:is>
          <x:t xml:space="preserve">Overdue reviews</x:t>
        </x:is>
      </x:c>
      <x:c r="B4" s="85">
        <x:f>Data!J4</x:f>
        <x:v>1</x:v>
      </x:c>
      <x:c r="C4" s="85">
        <x:f>Data!J5</x:f>
        <x:v>1</x:v>
      </x:c>
      <x:c r="D4" s="85">
        <x:f>Data!J6</x:f>
        <x:v>2</x:v>
      </x:c>
      <x:c r="E4" s="85">
        <x:f>Data!J7</x:f>
        <x:v>0</x:v>
      </x:c>
      <x:c r="F4" s="85">
        <x:f>Data!J8</x:f>
        <x:v>1</x:v>
      </x:c>
      <x:c r="H4" s="86" t="str">
        <x:f>Data!A6</x:f>
        <x:v>Contract C</x:v>
      </x:c>
      <x:c r="I4" s="87">
        <x:f>Data!D6</x:f>
        <x:v>6</x:v>
      </x:c>
      <x:c r="J4" s="87">
        <x:f>Data!E6</x:f>
        <x:v>4</x:v>
      </x:c>
      <x:c r="K4" s="87">
        <x:f>Data!F6</x:f>
        <x:v>10</x:v>
      </x:c>
      <x:c r="L4" s="87">
        <x:f>Data!G6</x:f>
        <x:v>3</x:v>
      </x:c>
      <x:c r="M4" s="14" t="n"/>
      <x:c r="N4" s="14" t="n"/>
    </x:row>
    <x:row r="5">
      <x:c r="H5" s="90" t="str">
        <x:f>Data!A7</x:f>
        <x:v>Contract D</x:v>
      </x:c>
      <x:c r="I5" s="91">
        <x:f>Data!D7</x:f>
        <x:v>1</x:v>
      </x:c>
      <x:c r="J5" s="91">
        <x:f>Data!E7</x:f>
        <x:v>3</x:v>
      </x:c>
      <x:c r="K5" s="91">
        <x:f>Data!F7</x:f>
        <x:v>4</x:v>
      </x:c>
      <x:c r="L5" s="91">
        <x:f>Data!G7</x:f>
        <x:v>0</x:v>
      </x:c>
      <x:c r="M5" s="14" t="n"/>
      <x:c r="N5" s="14" t="n"/>
    </x:row>
    <x:row r="21" s="57" customFormat="1" ht="22" customHeight="1">
      <x:c r="A21" s="92" t="inlineStr">
        <x:is>
          <x:t xml:space="preserve">Count</x:t>
        </x:is>
      </x:c>
      <x:c r="B21" s="92" t="inlineStr">
        <x:is>
          <x:t xml:space="preserve">Green</x:t>
        </x:is>
      </x:c>
      <x:c r="C21" s="92" t="inlineStr">
        <x:is>
          <x:t xml:space="preserve">Amber</x:t>
        </x:is>
      </x:c>
      <x:c r="D21" s="92" t="inlineStr">
        <x:is>
          <x:t xml:space="preserve">Red</x:t>
        </x:is>
      </x:c>
      <x:c r="E21" s="92" t="inlineStr">
        <x:is>
          <x:t xml:space="preserve">Major</x:t>
        </x:is>
      </x:c>
      <x:c r="H21" s="93" t="inlineStr">
        <x:is>
          <x:t xml:space="preserve">PORTFOLIO SNAPSHOT</x:t>
        </x:is>
      </x:c>
      <x:c r="M21" s="94" t="n"/>
      <x:c r="N21" s="94" t="n"/>
      <x:c r="O21" s="95" t="inlineStr">
        <x:is>
          <x:t xml:space="preserve">Top contract scorecard</x:t>
        </x:is>
      </x:c>
    </x:row>
    <x:row r="22" s="57" customFormat="1" ht="15" customHeight="1">
      <x:c r="A22" s="96" t="inlineStr">
        <x:is>
          <x:t xml:space="preserve">Count</x:t>
        </x:is>
      </x:c>
      <x:c r="B22" s="97">
        <x:f>COUNTIF(Data!M4:M17,"Green")</x:f>
        <x:v>5</x:v>
      </x:c>
      <x:c r="C22" s="97">
        <x:f>COUNTIF(Data!M4:M17,"Amber")</x:f>
        <x:v>6</x:v>
      </x:c>
      <x:c r="D22" s="97">
        <x:f>COUNTIF(Data!M4:M17,"Red")</x:f>
        <x:v>3</x:v>
      </x:c>
      <x:c r="E22" s="97">
        <x:f>SUM(Data!G4:G17)</x:f>
        <x:v>13</x:v>
      </x:c>
      <x:c r="H22" s="94" t="n"/>
      <x:c r="I22" s="94" t="n"/>
      <x:c r="J22" s="94" t="n"/>
      <x:c r="K22" s="94" t="n"/>
      <x:c r="L22" s="94" t="n"/>
      <x:c r="M22" s="94" t="n"/>
      <x:c r="N22" s="94" t="n"/>
      <x:c r="O22" s="98" t="inlineStr">
        <x:is>
          <x:t xml:space="preserve">Contract</x:t>
        </x:is>
      </x:c>
      <x:c r="P22" s="99" t="inlineStr">
        <x:is>
          <x:t xml:space="preserve">Net move</x:t>
        </x:is>
      </x:c>
      <x:c r="Q22" s="100" t="inlineStr">
        <x:is>
          <x:t xml:space="preserve">Overdue</x:t>
        </x:is>
      </x:c>
      <x:c r="R22" s="100" t="inlineStr">
        <x:is>
          <x:t xml:space="preserve">Health</x:t>
        </x:is>
      </x:c>
    </x:row>
    <x:row r="23" s="57" customFormat="1" ht="22" customHeight="1">
      <x:c r="H23" s="101" t="str">
        <x:f>COUNTA(Data!A4:A17)&amp;" active contracts in scope"</x:f>
        <x:v>14 active contracts in scope</x:v>
      </x:c>
      <x:c r="M23" s="94" t="n"/>
      <x:c r="N23" s="94" t="n"/>
      <x:c r="O23" s="102" t="str">
        <x:f>Data!A4</x:f>
        <x:v>Contract A</x:v>
      </x:c>
      <x:c r="P23" s="103">
        <x:f>Data!K4</x:f>
        <x:v>-1</x:v>
      </x:c>
      <x:c r="Q23" s="104">
        <x:f>Data!J4</x:f>
        <x:v>1</x:v>
      </x:c>
      <x:c r="R23" s="105" t="str">
        <x:f>Data!M4</x:f>
        <x:v>Red</x:v>
      </x:c>
    </x:row>
    <x:row r="24" s="57" customFormat="1" ht="22" customHeight="1">
      <x:c r="H24" s="101" t="str">
        <x:f>SUM(Data!B4:B17)&amp;" open problems in backlog"</x:f>
        <x:v>180 open problems in backlog</x:v>
      </x:c>
      <x:c r="M24" s="94" t="n"/>
      <x:c r="N24" s="94" t="n"/>
      <x:c r="O24" s="102" t="str">
        <x:f>Data!A5</x:f>
        <x:v>Contract B</x:v>
      </x:c>
      <x:c r="P24" s="103">
        <x:f>Data!K5</x:f>
        <x:v>1</x:v>
      </x:c>
      <x:c r="Q24" s="104">
        <x:f>Data!J5</x:f>
        <x:v>1</x:v>
      </x:c>
      <x:c r="R24" s="105" t="str">
        <x:f>Data!M5</x:f>
        <x:v>Amber</x:v>
      </x:c>
    </x:row>
    <x:row r="25" s="57" customFormat="1" ht="22" customHeight="1">
      <x:c r="H25" s="101" t="str">
        <x:f>SUM(Data!C4:C17)&amp;" high-priority items"</x:f>
        <x:v>53 high-priority items</x:v>
      </x:c>
      <x:c r="M25" s="94" t="n"/>
      <x:c r="N25" s="94" t="n"/>
      <x:c r="O25" s="102" t="str">
        <x:f>Data!A6</x:f>
        <x:v>Contract C</x:v>
      </x:c>
      <x:c r="P25" s="103">
        <x:f>Data!K6</x:f>
        <x:v>2</x:v>
      </x:c>
      <x:c r="Q25" s="104">
        <x:f>Data!J6</x:f>
        <x:v>2</x:v>
      </x:c>
      <x:c r="R25" s="105" t="str">
        <x:f>Data!M6</x:f>
        <x:v>Red</x:v>
      </x:c>
    </x:row>
    <x:row r="26" s="57" customFormat="1" ht="22" customHeight="1">
      <x:c r="H26" s="101" t="str">
        <x:f>SUM(Data!D4:D17)&amp;" problems opened this month"</x:f>
        <x:v>38 problems opened this month</x:v>
      </x:c>
      <x:c r="M26" s="94" t="n"/>
      <x:c r="N26" s="94" t="n"/>
      <x:c r="O26" s="102" t="str">
        <x:f>Data!A7</x:f>
        <x:v>Contract D</x:v>
      </x:c>
      <x:c r="P26" s="103">
        <x:f>Data!K7</x:f>
        <x:v>-2</x:v>
      </x:c>
      <x:c r="Q26" s="104">
        <x:f>Data!J7</x:f>
        <x:v>0</x:v>
      </x:c>
      <x:c r="R26" s="105" t="str">
        <x:f>Data!M7</x:f>
        <x:v>Green</x:v>
      </x:c>
    </x:row>
    <x:row r="27" s="57" customFormat="1" ht="22" customHeight="1">
      <x:c r="H27" s="101" t="str">
        <x:f>SUM(Data!E4:E17)&amp;" problems resolved this month"</x:f>
        <x:v>36 problems resolved this month</x:v>
      </x:c>
      <x:c r="M27" s="94" t="n"/>
      <x:c r="N27" s="94" t="n"/>
      <x:c r="O27" s="102" t="str">
        <x:f>Data!A8</x:f>
        <x:v>Contract E</x:v>
      </x:c>
      <x:c r="P27" s="103">
        <x:f>Data!K8</x:f>
        <x:v>1</x:v>
      </x:c>
      <x:c r="Q27" s="104">
        <x:f>Data!J8</x:f>
        <x:v>1</x:v>
      </x:c>
      <x:c r="R27" s="105" t="str">
        <x:f>Data!M8</x:f>
        <x:v>Amber</x:v>
      </x:c>
    </x:row>
    <x:row r="28" s="57" customFormat="1" ht="22" customHeight="1">
      <x:c r="H28" s="101" t="str">
        <x:f>"Weighted average age: "&amp;ROUND(Data!H24,1)&amp;" days"</x:f>
        <x:v>Weighted average age: 55.1 days</x:v>
      </x:c>
      <x:c r="M28" s="94" t="n"/>
      <x:c r="N28" s="94" t="n"/>
      <x:c r="O28" s="102" t="str">
        <x:f>Data!A9</x:f>
        <x:v>Contract F</x:v>
      </x:c>
      <x:c r="P28" s="103">
        <x:f>Data!K9</x:f>
        <x:v>-1</x:v>
      </x:c>
      <x:c r="Q28" s="104">
        <x:f>Data!J9</x:f>
        <x:v>0</x:v>
      </x:c>
      <x:c r="R28" s="105" t="str">
        <x:f>Data!M9</x:f>
        <x:v>Green</x:v>
      </x:c>
    </x:row>
    <x:row r="29">
      <x:c r="H29" s="94" t="n"/>
      <x:c r="I29" s="94" t="n"/>
      <x:c r="J29" s="94" t="n"/>
      <x:c r="K29" s="94" t="n"/>
      <x:c r="L29" s="94" t="n"/>
      <x:c r="M29" s="94" t="n"/>
      <x:c r="N29" s="94" t="n"/>
      <x:c r="O29" s="102" t="str">
        <x:f>Data!A10</x:f>
        <x:v>Contract G</x:v>
      </x:c>
      <x:c r="P29" s="103">
        <x:f>Data!K10</x:f>
        <x:v>1</x:v>
      </x:c>
      <x:c r="Q29" s="104">
        <x:f>Data!J10</x:f>
        <x:v>0</x:v>
      </x:c>
      <x:c r="R29" s="105" t="str">
        <x:f>Data!M10</x:f>
        <x:v>Amber</x:v>
      </x:c>
    </x:row>
    <x:row r="30" s="57" customFormat="1" ht="22" customHeight="1">
      <x:c r="H30" s="106" t="inlineStr">
        <x:is>
          <x:t xml:space="preserve">Sort the Data rows to prioritise the contracts shown in the upper charts. Use the Information sheet for reporting month and owner details.</x:t>
        </x:is>
      </x:c>
      <x:c r="M30" s="94" t="n"/>
      <x:c r="N30" s="94" t="n"/>
      <x:c r="O30" s="102" t="str">
        <x:f>Data!A11</x:f>
        <x:v>Contract H</x:v>
      </x:c>
      <x:c r="P30" s="103">
        <x:f>Data!K11</x:f>
        <x:v>-2</x:v>
      </x:c>
      <x:c r="Q30" s="104">
        <x:f>Data!J11</x:f>
        <x:v>0</x:v>
      </x:c>
      <x:c r="R30" s="105" t="str">
        <x:f>Data!M11</x:f>
        <x:v>Green</x:v>
      </x:c>
    </x:row>
    <x:row r="31" s="57" customFormat="1" ht="22" customHeight="1">
      <x:c r="M31" s="94" t="n"/>
      <x:c r="N31" s="94" t="n"/>
      <x:c r="O31" s="102" t="str">
        <x:f>Data!A12</x:f>
        <x:v>Contract I</x:v>
      </x:c>
      <x:c r="P31" s="103">
        <x:f>Data!K12</x:f>
        <x:v>2</x:v>
      </x:c>
      <x:c r="Q31" s="104">
        <x:f>Data!J12</x:f>
        <x:v>1</x:v>
      </x:c>
      <x:c r="R31" s="105" t="str">
        <x:f>Data!M12</x:f>
        <x:v>Red</x:v>
      </x:c>
    </x:row>
    <x:row r="32" s="57" customFormat="1" ht="22" customHeight="1">
      <x:c r="M32" s="94" t="n"/>
      <x:c r="N32" s="94" t="n"/>
      <x:c r="O32" s="102" t="str">
        <x:f>Data!A13</x:f>
        <x:v>Contract J</x:v>
      </x:c>
      <x:c r="P32" s="103">
        <x:f>Data!K13</x:f>
        <x:v>-1</x:v>
      </x:c>
      <x:c r="Q32" s="104">
        <x:f>Data!J13</x:f>
        <x:v>0</x:v>
      </x:c>
      <x:c r="R32" s="105" t="str">
        <x:f>Data!M13</x:f>
        <x:v>Green</x:v>
      </x:c>
    </x:row>
    <x:row r="33">
      <x:c r="H33" s="94" t="n"/>
      <x:c r="I33" s="94" t="n"/>
      <x:c r="J33" s="94" t="n"/>
      <x:c r="K33" s="94" t="n"/>
      <x:c r="L33" s="94" t="n"/>
      <x:c r="M33" s="94" t="n"/>
      <x:c r="N33" s="94" t="n"/>
      <x:c r="O33" s="107" t="n"/>
      <x:c r="P33" s="108" t="n"/>
      <x:c r="Q33" s="94" t="n"/>
      <x:c r="R33" s="94" t="n"/>
    </x:row>
    <x:row r="34">
      <x:c r="H34" s="94" t="n"/>
      <x:c r="I34" s="94" t="n"/>
      <x:c r="J34" s="94" t="n"/>
      <x:c r="K34" s="94" t="n"/>
      <x:c r="L34" s="94" t="n"/>
      <x:c r="M34" s="94" t="n"/>
      <x:c r="N34" s="94" t="n"/>
      <x:c r="O34" s="107" t="n"/>
      <x:c r="P34" s="108" t="n"/>
      <x:c r="Q34" s="94" t="n"/>
      <x:c r="R34" s="94" t="n"/>
    </x:row>
    <x:row r="35">
      <x:c r="H35" s="94" t="n"/>
      <x:c r="I35" s="94" t="n"/>
      <x:c r="J35" s="94" t="n"/>
      <x:c r="K35" s="94" t="n"/>
      <x:c r="L35" s="94" t="n"/>
      <x:c r="M35" s="94" t="n"/>
      <x:c r="N35" s="94" t="n"/>
      <x:c r="O35" s="107" t="n"/>
      <x:c r="P35" s="108" t="n"/>
      <x:c r="Q35" s="94" t="n"/>
      <x:c r="R35" s="94" t="n"/>
    </x:row>
  </x:sheetData>
  <x:mergeCells>
    <x:mergeCell ref="H27:L27"/>
    <x:mergeCell ref="H26:L26"/>
    <x:mergeCell ref="H25:L25"/>
    <x:mergeCell ref="H21:L21"/>
    <x:mergeCell ref="H24:L24"/>
    <x:mergeCell ref="O21:R21"/>
    <x:mergeCell ref="H28:L28"/>
    <x:mergeCell ref="H23:L23"/>
    <x:mergeCell ref="H30:L32"/>
  </x:mergeCells>
  <x:conditionalFormatting sqref="R23:R32">
    <x:cfRule type="expression" dxfId="0" priority="1">
      <x:formula>R23="Red"</x:formula>
    </x:cfRule>
    <x:cfRule type="expression" dxfId="1" priority="2">
      <x:formula>R23="Amber"</x:formula>
    </x:cfRule>
    <x:cfRule type="expression" dxfId="2" priority="3">
      <x:formula>R23="Green"</x:formula>
    </x:cfRule>
  </x:conditionalFormatting>
  <x:pageMargins left="0.7" right="0.7" top="0.75" bottom="0.75" header="0.3" footer="0.3"/>
  <x:drawing xmlns:r="http://schemas.openxmlformats.org/officeDocument/2006/relationships" r:id="Reaa59a6a0e87418d"/>
</x:worksheet>
</file>

<file path=xl/worksheets/sheet3.xml><?xml version="1.0" encoding="utf-8"?>
<x:worksheet xmlns:x="http://schemas.openxmlformats.org/spreadsheetml/2006/main">
  <x:sheetViews>
    <x:sheetView showGridLines="0" workbookViewId="0"/>
  </x:sheetViews>
  <x:sheetFormatPr baseColWidth="8" defaultRowHeight="15"/>
  <x:cols>
    <x:col min="1" max="1" width="13" style="57" customWidth="1"/>
    <x:col min="2" max="2" width="13" style="57" customWidth="1"/>
    <x:col min="3" max="3" width="13" style="57" customWidth="1"/>
    <x:col min="4" max="4" width="13" style="57" customWidth="1"/>
    <x:col min="5" max="5" width="13" style="57" customWidth="1"/>
    <x:col min="6" max="6" width="13" style="57" customWidth="1"/>
    <x:col min="7" max="7" width="13" style="57" customWidth="1"/>
    <x:col min="8" max="8" width="13" style="57" customWidth="1"/>
    <x:col min="9" max="9" width="13" style="57" customWidth="1"/>
    <x:col min="10" max="10" width="13" style="57" customWidth="1"/>
    <x:col min="11" max="11" width="13" style="57" customWidth="1"/>
    <x:col min="12" max="12" width="13" style="57" customWidth="1"/>
    <x:col min="13" max="13" width="13" style="57" customWidth="1"/>
    <x:col min="14" max="14" width="13" style="57" customWidth="1"/>
    <x:col min="15" max="15" width="13" style="57" customWidth="1"/>
    <x:col min="16" max="16" width="13" style="57" customWidth="1"/>
    <x:col min="17" max="17" width="13" style="57" customWidth="1"/>
    <x:col min="18" max="18" width="13" style="57" customWidth="1"/>
    <x:col min="19" max="19" width="13" style="57" customWidth="1"/>
    <x:col min="20" max="20" width="13" style="57" customWidth="1"/>
    <x:col min="21" max="21" width="13" style="57" customWidth="1"/>
    <x:col min="22" max="22" width="13" style="57" customWidth="1"/>
    <x:col min="23" max="23" width="13" style="57" customWidth="1"/>
    <x:col min="24" max="24" width="13" style="57" customWidth="1"/>
    <x:col min="25" max="25" width="13" style="57" customWidth="1"/>
  </x:cols>
  <x:sheetData>
    <x:row r="1">
      <x:c r="B1" t="str">
        <x:f>Data!A4</x:f>
        <x:v>Contract A</x:v>
      </x:c>
      <x:c r="C1" t="str">
        <x:f>Data!A5</x:f>
        <x:v>Contract B</x:v>
      </x:c>
      <x:c r="D1" t="str">
        <x:f>Data!A6</x:f>
        <x:v>Contract C</x:v>
      </x:c>
      <x:c r="E1" t="str">
        <x:f>Data!A7</x:f>
        <x:v>Contract D</x:v>
      </x:c>
      <x:c r="F1" t="str">
        <x:f>Data!A8</x:f>
        <x:v>Contract E</x:v>
      </x:c>
      <x:c r="I1" t="inlineStr">
        <x:is>
          <x:t xml:space="preserve">Opened</x:t>
        </x:is>
      </x:c>
      <x:c r="J1" t="inlineStr">
        <x:is>
          <x:t xml:space="preserve">Resolved</x:t>
        </x:is>
      </x:c>
      <x:c r="K1" t="inlineStr">
        <x:is>
          <x:t xml:space="preserve">Updated</x:t>
        </x:is>
      </x:c>
      <x:c r="L1" t="inlineStr">
        <x:is>
          <x:t xml:space="preserve">Major</x:t>
        </x:is>
      </x:c>
      <x:c r="O1" t="inlineStr">
        <x:is>
          <x:t xml:space="preserve">Average age days</x:t>
        </x:is>
      </x:c>
      <x:c r="P1" t="str">
        <x:f>Data!A4</x:f>
        <x:v>Contract A</x:v>
      </x:c>
      <x:c r="Q1" t="str">
        <x:f>Data!A5</x:f>
        <x:v>Contract B</x:v>
      </x:c>
      <x:c r="R1" t="str">
        <x:f>Data!A6</x:f>
        <x:v>Contract C</x:v>
      </x:c>
      <x:c r="S1" t="str">
        <x:f>Data!A7</x:f>
        <x:v>Contract D</x:v>
      </x:c>
      <x:c r="T1" t="str">
        <x:f>Data!A8</x:f>
        <x:v>Contract E</x:v>
      </x:c>
      <x:c r="U1" t="str">
        <x:f>Data!A9</x:f>
        <x:v>Contract F</x:v>
      </x:c>
      <x:c r="V1" t="str">
        <x:f>Data!A10</x:f>
        <x:v>Contract G</x:v>
      </x:c>
      <x:c r="W1" t="str">
        <x:f>Data!A11</x:f>
        <x:v>Contract H</x:v>
      </x:c>
      <x:c r="X1" t="str">
        <x:f>Data!A12</x:f>
        <x:v>Contract I</x:v>
      </x:c>
      <x:c r="Y1" t="str">
        <x:f>Data!A13</x:f>
        <x:v>Contract J</x:v>
      </x:c>
    </x:row>
    <x:row r="2">
      <x:c r="A2" t="inlineStr">
        <x:is>
          <x:t xml:space="preserve">Open problems</x:t>
        </x:is>
      </x:c>
      <x:c r="B2">
        <x:f>Data!B4</x:f>
        <x:v>18</x:v>
      </x:c>
      <x:c r="C2">
        <x:f>Data!B5</x:f>
        <x:v>12</x:v>
      </x:c>
      <x:c r="D2">
        <x:f>Data!B6</x:f>
        <x:v>22</x:v>
      </x:c>
      <x:c r="E2">
        <x:f>Data!B7</x:f>
        <x:v>9</x:v>
      </x:c>
      <x:c r="F2">
        <x:f>Data!B8</x:f>
        <x:v>15</x:v>
      </x:c>
      <x:c r="H2" t="str">
        <x:f>Data!A4</x:f>
        <x:v>Contract A</x:v>
      </x:c>
      <x:c r="I2">
        <x:f>Data!D4</x:f>
        <x:v>4</x:v>
      </x:c>
      <x:c r="J2">
        <x:f>Data!E4</x:f>
        <x:v>5</x:v>
      </x:c>
      <x:c r="K2">
        <x:f>Data!F4</x:f>
        <x:v>9</x:v>
      </x:c>
      <x:c r="L2">
        <x:f>Data!G4</x:f>
        <x:v>2</x:v>
      </x:c>
      <x:c r="P2">
        <x:f>Data!H4</x:f>
        <x:v>67</x:v>
      </x:c>
      <x:c r="Q2">
        <x:f>Data!H5</x:f>
        <x:v>52</x:v>
      </x:c>
      <x:c r="R2">
        <x:f>Data!H6</x:f>
        <x:v>91</x:v>
      </x:c>
      <x:c r="S2">
        <x:f>Data!H7</x:f>
        <x:v>34</x:v>
      </x:c>
      <x:c r="T2">
        <x:f>Data!H8</x:f>
        <x:v>58</x:v>
      </x:c>
      <x:c r="U2">
        <x:f>Data!H9</x:f>
        <x:v>21</x:v>
      </x:c>
      <x:c r="V2">
        <x:f>Data!H10</x:f>
        <x:v>46</x:v>
      </x:c>
      <x:c r="W2">
        <x:f>Data!H11</x:f>
        <x:v>29</x:v>
      </x:c>
      <x:c r="X2">
        <x:f>Data!H12</x:f>
        <x:v>73</x:v>
      </x:c>
      <x:c r="Y2">
        <x:f>Data!H13</x:f>
        <x:v>26</x:v>
      </x:c>
    </x:row>
    <x:row r="3">
      <x:c r="A3" t="inlineStr">
        <x:is>
          <x:t xml:space="preserve">High priority</x:t>
        </x:is>
      </x:c>
      <x:c r="B3">
        <x:f>Data!C4</x:f>
        <x:v>6</x:v>
      </x:c>
      <x:c r="C3">
        <x:f>Data!C5</x:f>
        <x:v>3</x:v>
      </x:c>
      <x:c r="D3">
        <x:f>Data!C6</x:f>
        <x:v>8</x:v>
      </x:c>
      <x:c r="E3">
        <x:f>Data!C7</x:f>
        <x:v>2</x:v>
      </x:c>
      <x:c r="F3">
        <x:f>Data!C8</x:f>
        <x:v>5</x:v>
      </x:c>
      <x:c r="H3" t="str">
        <x:f>Data!A5</x:f>
        <x:v>Contract B</x:v>
      </x:c>
      <x:c r="I3">
        <x:f>Data!D5</x:f>
        <x:v>2</x:v>
      </x:c>
      <x:c r="J3">
        <x:f>Data!E5</x:f>
        <x:v>1</x:v>
      </x:c>
      <x:c r="K3">
        <x:f>Data!F5</x:f>
        <x:v>5</x:v>
      </x:c>
      <x:c r="L3">
        <x:f>Data!G5</x:f>
        <x:v>1</x:v>
      </x:c>
    </x:row>
    <x:row r="4">
      <x:c r="A4" t="inlineStr">
        <x:is>
          <x:t xml:space="preserve">Overdue reviews</x:t>
        </x:is>
      </x:c>
      <x:c r="B4">
        <x:f>Data!J4</x:f>
        <x:v>1</x:v>
      </x:c>
      <x:c r="C4">
        <x:f>Data!J5</x:f>
        <x:v>1</x:v>
      </x:c>
      <x:c r="D4">
        <x:f>Data!J6</x:f>
        <x:v>2</x:v>
      </x:c>
      <x:c r="E4">
        <x:f>Data!J7</x:f>
        <x:v>0</x:v>
      </x:c>
      <x:c r="F4">
        <x:f>Data!J8</x:f>
        <x:v>1</x:v>
      </x:c>
      <x:c r="H4" t="str">
        <x:f>Data!A6</x:f>
        <x:v>Contract C</x:v>
      </x:c>
      <x:c r="I4">
        <x:f>Data!D6</x:f>
        <x:v>6</x:v>
      </x:c>
      <x:c r="J4">
        <x:f>Data!E6</x:f>
        <x:v>4</x:v>
      </x:c>
      <x:c r="K4">
        <x:f>Data!F6</x:f>
        <x:v>10</x:v>
      </x:c>
      <x:c r="L4">
        <x:f>Data!G6</x:f>
        <x:v>3</x:v>
      </x:c>
    </x:row>
    <x:row r="5">
      <x:c r="H5" t="str">
        <x:f>Data!A7</x:f>
        <x:v>Contract D</x:v>
      </x:c>
      <x:c r="I5">
        <x:f>Data!D7</x:f>
        <x:v>1</x:v>
      </x:c>
      <x:c r="J5">
        <x:f>Data!E7</x:f>
        <x:v>3</x:v>
      </x:c>
      <x:c r="K5">
        <x:f>Data!F7</x:f>
        <x:v>4</x:v>
      </x:c>
      <x:c r="L5">
        <x:f>Data!G7</x:f>
        <x:v>0</x:v>
      </x:c>
    </x:row>
    <x:row r="21">
      <x:c r="B21" t="inlineStr">
        <x:is>
          <x:t xml:space="preserve">Green</x:t>
        </x:is>
      </x:c>
      <x:c r="C21" t="inlineStr">
        <x:is>
          <x:t xml:space="preserve">Amber</x:t>
        </x:is>
      </x:c>
      <x:c r="D21" t="inlineStr">
        <x:is>
          <x:t xml:space="preserve">Red</x:t>
        </x:is>
      </x:c>
      <x:c r="E21" t="inlineStr">
        <x:is>
          <x:t xml:space="preserve">Major</x:t>
        </x:is>
      </x:c>
      <x:c r="O21" t="inlineStr">
        <x:is>
          <x:t xml:space="preserve">Open problems</x:t>
        </x:is>
      </x:c>
    </x:row>
    <x:row r="22">
      <x:c r="A22" t="inlineStr">
        <x:is>
          <x:t xml:space="preserve">Count</x:t>
        </x:is>
      </x:c>
      <x:c r="B22">
        <x:f>COUNTIF(Data!M4:M17,"Green")</x:f>
        <x:v>5</x:v>
      </x:c>
      <x:c r="C22">
        <x:f>COUNTIF(Data!M4:M17,"Amber")</x:f>
        <x:v>6</x:v>
      </x:c>
      <x:c r="D22">
        <x:f>COUNTIF(Data!M4:M17,"Red")</x:f>
        <x:v>3</x:v>
      </x:c>
      <x:c r="E22">
        <x:f>SUM(Data!G4:G17)</x:f>
        <x:v>13</x:v>
      </x:c>
      <x:c r="O22" t="str">
        <x:f>Data!A4</x:f>
        <x:v>Contract A</x:v>
      </x:c>
      <x:c r="P22">
        <x:f>Data!B4</x:f>
        <x:v>18</x:v>
      </x:c>
    </x:row>
    <x:row r="23">
      <x:c r="O23" t="str">
        <x:f>Data!A5</x:f>
        <x:v>Contract B</x:v>
      </x:c>
      <x:c r="P23">
        <x:f>Data!B5</x:f>
        <x:v>12</x:v>
      </x:c>
    </x:row>
    <x:row r="24">
      <x:c r="O24" t="str">
        <x:f>Data!A6</x:f>
        <x:v>Contract C</x:v>
      </x:c>
      <x:c r="P24">
        <x:f>Data!B6</x:f>
        <x:v>22</x:v>
      </x:c>
    </x:row>
    <x:row r="25">
      <x:c r="O25" t="str">
        <x:f>Data!A7</x:f>
        <x:v>Contract D</x:v>
      </x:c>
      <x:c r="P25">
        <x:f>Data!B7</x:f>
        <x:v>9</x:v>
      </x:c>
    </x:row>
    <x:row r="26">
      <x:c r="O26" t="str">
        <x:f>Data!A8</x:f>
        <x:v>Contract E</x:v>
      </x:c>
      <x:c r="P26">
        <x:f>Data!B8</x:f>
        <x:v>15</x:v>
      </x:c>
    </x:row>
    <x:row r="27">
      <x:c r="O27" t="str">
        <x:f>Data!A9</x:f>
        <x:v>Contract F</x:v>
      </x:c>
      <x:c r="P27">
        <x:f>Data!B9</x:f>
        <x:v>7</x:v>
      </x:c>
    </x:row>
    <x:row r="28">
      <x:c r="O28" t="str">
        <x:f>Data!A10</x:f>
        <x:v>Contract G</x:v>
      </x:c>
      <x:c r="P28">
        <x:f>Data!B10</x:f>
        <x:v>13</x:v>
      </x:c>
    </x:row>
    <x:row r="29">
      <x:c r="O29" t="str">
        <x:f>Data!A11</x:f>
        <x:v>Contract H</x:v>
      </x:c>
      <x:c r="P29">
        <x:f>Data!B11</x:f>
        <x:v>11</x:v>
      </x:c>
    </x:row>
    <x:row r="30">
      <x:c r="O30" t="str">
        <x:f>Data!A12</x:f>
        <x:v>Contract I</x:v>
      </x:c>
      <x:c r="P30">
        <x:f>Data!B12</x:f>
        <x:v>19</x:v>
      </x:c>
    </x:row>
    <x:row r="31">
      <x:c r="O31" t="str">
        <x:f>Data!A13</x:f>
        <x:v>Contract J</x:v>
      </x:c>
      <x:c r="P31">
        <x:f>Data!B13</x:f>
        <x:v>8</x:v>
      </x:c>
    </x:row>
    <x:row r="32">
      <x:c r="O32" t="str">
        <x:f>Data!A14</x:f>
        <x:v>Contract K</x:v>
      </x:c>
      <x:c r="P32">
        <x:f>Data!B14</x:f>
        <x:v>10</x:v>
      </x:c>
    </x:row>
    <x:row r="33">
      <x:c r="O33" t="str">
        <x:f>Data!A15</x:f>
        <x:v>Contract L</x:v>
      </x:c>
      <x:c r="P33">
        <x:f>Data!B15</x:f>
        <x:v>14</x:v>
      </x:c>
    </x:row>
    <x:row r="34">
      <x:c r="O34" t="str">
        <x:f>Data!A16</x:f>
        <x:v>Contract M</x:v>
      </x:c>
      <x:c r="P34">
        <x:f>Data!B16</x:f>
        <x:v>6</x:v>
      </x:c>
    </x:row>
    <x:row r="35">
      <x:c r="O35" t="str">
        <x:f>Data!A17</x:f>
        <x:v>Contract N</x:v>
      </x:c>
      <x:c r="P35">
        <x:f>Data!B17</x:f>
        <x:v>16</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baseColWidth="8" defaultRowHeight="15"/>
  <x:cols>
    <x:col min="1" max="1" width="20" style="57" customWidth="1"/>
    <x:col min="2" max="2" width="14" style="57" customWidth="1"/>
    <x:col min="3" max="3" width="14" style="57" customWidth="1"/>
    <x:col min="4" max="4" width="14" style="57" customWidth="1"/>
    <x:col min="5" max="5" width="14" style="57" customWidth="1"/>
    <x:col min="6" max="6" width="14" style="57" customWidth="1"/>
    <x:col min="7" max="7" width="14" style="57" customWidth="1"/>
    <x:col min="8" max="8" width="14" style="57" customWidth="1"/>
    <x:col min="9" max="9" width="13" style="57" customWidth="1"/>
    <x:col min="10" max="10" width="15" style="57" customWidth="1"/>
    <x:col min="11" max="11" width="14" style="57" customWidth="1"/>
    <x:col min="12" max="12" width="16" style="57" customWidth="1"/>
    <x:col min="13" max="13" width="12" style="57" customWidth="1"/>
  </x:cols>
  <x:sheetData>
    <x:row r="1" s="57" customFormat="1" ht="20" customHeight="1">
      <x:c r="A1" s="109" t="inlineStr">
        <x:is>
          <x:t xml:space="preserve">Cross Contract Problem Data - overwrite starter rows</x:t>
        </x:is>
      </x:c>
    </x:row>
    <x:row r="2" s="57" customFormat="1" ht="20" customHeight="1"/>
    <x:row r="3" s="57" customFormat="1" ht="32" customHeight="1">
      <x:c r="A3" s="110" t="inlineStr">
        <x:is>
          <x:t xml:space="preserve">Contract / Company</x:t>
        </x:is>
      </x:c>
      <x:c r="B3" s="110" t="inlineStr">
        <x:is>
          <x:t xml:space="preserve">Open Problems</x:t>
        </x:is>
      </x:c>
      <x:c r="C3" s="110" t="inlineStr">
        <x:is>
          <x:t xml:space="preserve">High Priority</x:t>
        </x:is>
      </x:c>
      <x:c r="D3" s="110" t="inlineStr">
        <x:is>
          <x:t xml:space="preserve">Opened (Month)</x:t>
        </x:is>
      </x:c>
      <x:c r="E3" s="110" t="inlineStr">
        <x:is>
          <x:t xml:space="preserve">Resolved (Month)</x:t>
        </x:is>
      </x:c>
      <x:c r="F3" s="110" t="inlineStr">
        <x:is>
          <x:t xml:space="preserve">Updated (Month)</x:t>
        </x:is>
      </x:c>
      <x:c r="G3" s="110" t="inlineStr">
        <x:is>
          <x:t xml:space="preserve">Major Problems</x:t>
        </x:is>
      </x:c>
      <x:c r="H3" s="110" t="inlineStr">
        <x:is>
          <x:t xml:space="preserve">Avg Age Days</x:t>
        </x:is>
      </x:c>
      <x:c r="I3" s="110" t="inlineStr">
        <x:is>
          <x:t xml:space="preserve">Reviews Due</x:t>
        </x:is>
      </x:c>
      <x:c r="J3" s="110" t="inlineStr">
        <x:is>
          <x:t xml:space="preserve">Overdue Reviews</x:t>
        </x:is>
      </x:c>
      <x:c r="K3" s="110" t="inlineStr">
        <x:is>
          <x:t xml:space="preserve">Net Movement</x:t>
        </x:is>
      </x:c>
      <x:c r="L3" s="110" t="inlineStr">
        <x:is>
          <x:t xml:space="preserve">Resolution Rate</x:t>
        </x:is>
      </x:c>
      <x:c r="M3" s="110" t="inlineStr">
        <x:is>
          <x:t xml:space="preserve">Health</x:t>
        </x:is>
      </x:c>
    </x:row>
    <x:row r="4" s="57" customFormat="1" ht="20" customHeight="1">
      <x:c r="A4" s="111" t="inlineStr">
        <x:is>
          <x:t xml:space="preserve">Contract A</x:t>
        </x:is>
      </x:c>
      <x:c r="B4" s="112" t="n">
        <x:v>18</x:v>
      </x:c>
      <x:c r="C4" s="112" t="n">
        <x:v>6</x:v>
      </x:c>
      <x:c r="D4" s="112" t="n">
        <x:v>4</x:v>
      </x:c>
      <x:c r="E4" s="112" t="n">
        <x:v>5</x:v>
      </x:c>
      <x:c r="F4" s="112" t="n">
        <x:v>9</x:v>
      </x:c>
      <x:c r="G4" s="112" t="n">
        <x:v>2</x:v>
      </x:c>
      <x:c r="H4" s="113" t="n">
        <x:v>67</x:v>
      </x:c>
      <x:c r="I4" s="112" t="n">
        <x:v>3</x:v>
      </x:c>
      <x:c r="J4" s="112" t="n">
        <x:v>1</x:v>
      </x:c>
      <x:c r="K4" s="114">
        <x:f>D4-E4</x:f>
        <x:v>-1</x:v>
      </x:c>
      <x:c r="L4" s="115">
        <x:f>IF(D4=0,0,E4/D4)</x:f>
        <x:v>1.25</x:v>
      </x:c>
      <x:c r="M4" s="116" t="str">
        <x:f>IF(OR(C4&gt;=6,H4&gt;=90,J4&gt;=2),"Red",IF(OR(C4&gt;=3,H4&gt;=45,J4&gt;=1),"Amber","Green"))</x:f>
        <x:v>Red</x:v>
      </x:c>
    </x:row>
    <x:row r="5" s="57" customFormat="1" ht="20" customHeight="1">
      <x:c r="A5" s="111" t="inlineStr">
        <x:is>
          <x:t xml:space="preserve">Contract B</x:t>
        </x:is>
      </x:c>
      <x:c r="B5" s="112" t="n">
        <x:v>12</x:v>
      </x:c>
      <x:c r="C5" s="112" t="n">
        <x:v>3</x:v>
      </x:c>
      <x:c r="D5" s="112" t="n">
        <x:v>2</x:v>
      </x:c>
      <x:c r="E5" s="112" t="n">
        <x:v>1</x:v>
      </x:c>
      <x:c r="F5" s="112" t="n">
        <x:v>5</x:v>
      </x:c>
      <x:c r="G5" s="112" t="n">
        <x:v>1</x:v>
      </x:c>
      <x:c r="H5" s="113" t="n">
        <x:v>52</x:v>
      </x:c>
      <x:c r="I5" s="112" t="n">
        <x:v>2</x:v>
      </x:c>
      <x:c r="J5" s="112" t="n">
        <x:v>1</x:v>
      </x:c>
      <x:c r="K5" s="114">
        <x:f>D5-E5</x:f>
        <x:v>1</x:v>
      </x:c>
      <x:c r="L5" s="115">
        <x:f>IF(D5=0,0,E5/D5)</x:f>
        <x:v>0.5</x:v>
      </x:c>
      <x:c r="M5" s="116" t="str">
        <x:f>IF(OR(C5&gt;=6,H5&gt;=90,J5&gt;=2),"Red",IF(OR(C5&gt;=3,H5&gt;=45,J5&gt;=1),"Amber","Green"))</x:f>
        <x:v>Amber</x:v>
      </x:c>
    </x:row>
    <x:row r="6" s="57" customFormat="1" ht="20" customHeight="1">
      <x:c r="A6" s="111" t="inlineStr">
        <x:is>
          <x:t xml:space="preserve">Contract C</x:t>
        </x:is>
      </x:c>
      <x:c r="B6" s="112" t="n">
        <x:v>22</x:v>
      </x:c>
      <x:c r="C6" s="112" t="n">
        <x:v>8</x:v>
      </x:c>
      <x:c r="D6" s="112" t="n">
        <x:v>6</x:v>
      </x:c>
      <x:c r="E6" s="112" t="n">
        <x:v>4</x:v>
      </x:c>
      <x:c r="F6" s="112" t="n">
        <x:v>10</x:v>
      </x:c>
      <x:c r="G6" s="112" t="n">
        <x:v>3</x:v>
      </x:c>
      <x:c r="H6" s="113" t="n">
        <x:v>91</x:v>
      </x:c>
      <x:c r="I6" s="112" t="n">
        <x:v>4</x:v>
      </x:c>
      <x:c r="J6" s="112" t="n">
        <x:v>2</x:v>
      </x:c>
      <x:c r="K6" s="114">
        <x:f>D6-E6</x:f>
        <x:v>2</x:v>
      </x:c>
      <x:c r="L6" s="115">
        <x:f>IF(D6=0,0,E6/D6)</x:f>
        <x:v>0.6666666666666666</x:v>
      </x:c>
      <x:c r="M6" s="116" t="str">
        <x:f>IF(OR(C6&gt;=6,H6&gt;=90,J6&gt;=2),"Red",IF(OR(C6&gt;=3,H6&gt;=45,J6&gt;=1),"Amber","Green"))</x:f>
        <x:v>Red</x:v>
      </x:c>
    </x:row>
    <x:row r="7" s="57" customFormat="1" ht="20" customHeight="1">
      <x:c r="A7" s="111" t="inlineStr">
        <x:is>
          <x:t xml:space="preserve">Contract D</x:t>
        </x:is>
      </x:c>
      <x:c r="B7" s="112" t="n">
        <x:v>9</x:v>
      </x:c>
      <x:c r="C7" s="112" t="n">
        <x:v>2</x:v>
      </x:c>
      <x:c r="D7" s="112" t="n">
        <x:v>1</x:v>
      </x:c>
      <x:c r="E7" s="112" t="n">
        <x:v>3</x:v>
      </x:c>
      <x:c r="F7" s="112" t="n">
        <x:v>4</x:v>
      </x:c>
      <x:c r="G7" s="112" t="n">
        <x:v>0</x:v>
      </x:c>
      <x:c r="H7" s="113" t="n">
        <x:v>34</x:v>
      </x:c>
      <x:c r="I7" s="112" t="n">
        <x:v>1</x:v>
      </x:c>
      <x:c r="J7" s="112" t="n">
        <x:v>0</x:v>
      </x:c>
      <x:c r="K7" s="114">
        <x:f>D7-E7</x:f>
        <x:v>-2</x:v>
      </x:c>
      <x:c r="L7" s="115">
        <x:f>IF(D7=0,0,E7/D7)</x:f>
        <x:v>3</x:v>
      </x:c>
      <x:c r="M7" s="116" t="str">
        <x:f>IF(OR(C7&gt;=6,H7&gt;=90,J7&gt;=2),"Red",IF(OR(C7&gt;=3,H7&gt;=45,J7&gt;=1),"Amber","Green"))</x:f>
        <x:v>Green</x:v>
      </x:c>
    </x:row>
    <x:row r="8" s="57" customFormat="1" ht="20" customHeight="1">
      <x:c r="A8" s="111" t="inlineStr">
        <x:is>
          <x:t xml:space="preserve">Contract E</x:t>
        </x:is>
      </x:c>
      <x:c r="B8" s="112" t="n">
        <x:v>15</x:v>
      </x:c>
      <x:c r="C8" s="112" t="n">
        <x:v>5</x:v>
      </x:c>
      <x:c r="D8" s="112" t="n">
        <x:v>3</x:v>
      </x:c>
      <x:c r="E8" s="112" t="n">
        <x:v>2</x:v>
      </x:c>
      <x:c r="F8" s="112" t="n">
        <x:v>7</x:v>
      </x:c>
      <x:c r="G8" s="112" t="n">
        <x:v>1</x:v>
      </x:c>
      <x:c r="H8" s="113" t="n">
        <x:v>58</x:v>
      </x:c>
      <x:c r="I8" s="112" t="n">
        <x:v>2</x:v>
      </x:c>
      <x:c r="J8" s="112" t="n">
        <x:v>1</x:v>
      </x:c>
      <x:c r="K8" s="114">
        <x:f>D8-E8</x:f>
        <x:v>1</x:v>
      </x:c>
      <x:c r="L8" s="115">
        <x:f>IF(D8=0,0,E8/D8)</x:f>
        <x:v>0.6666666666666666</x:v>
      </x:c>
      <x:c r="M8" s="116" t="str">
        <x:f>IF(OR(C8&gt;=6,H8&gt;=90,J8&gt;=2),"Red",IF(OR(C8&gt;=3,H8&gt;=45,J8&gt;=1),"Amber","Green"))</x:f>
        <x:v>Amber</x:v>
      </x:c>
    </x:row>
    <x:row r="9" s="57" customFormat="1" ht="20" customHeight="1">
      <x:c r="A9" s="111" t="inlineStr">
        <x:is>
          <x:t xml:space="preserve">Contract F</x:t>
        </x:is>
      </x:c>
      <x:c r="B9" s="112" t="n">
        <x:v>7</x:v>
      </x:c>
      <x:c r="C9" s="112" t="n">
        <x:v>1</x:v>
      </x:c>
      <x:c r="D9" s="112" t="n">
        <x:v>1</x:v>
      </x:c>
      <x:c r="E9" s="112" t="n">
        <x:v>2</x:v>
      </x:c>
      <x:c r="F9" s="112" t="n">
        <x:v>2</x:v>
      </x:c>
      <x:c r="G9" s="112" t="n">
        <x:v>0</x:v>
      </x:c>
      <x:c r="H9" s="113" t="n">
        <x:v>21</x:v>
      </x:c>
      <x:c r="I9" s="112" t="n">
        <x:v>0</x:v>
      </x:c>
      <x:c r="J9" s="112" t="n">
        <x:v>0</x:v>
      </x:c>
      <x:c r="K9" s="114">
        <x:f>D9-E9</x:f>
        <x:v>-1</x:v>
      </x:c>
      <x:c r="L9" s="115">
        <x:f>IF(D9=0,0,E9/D9)</x:f>
        <x:v>2</x:v>
      </x:c>
      <x:c r="M9" s="116" t="str">
        <x:f>IF(OR(C9&gt;=6,H9&gt;=90,J9&gt;=2),"Red",IF(OR(C9&gt;=3,H9&gt;=45,J9&gt;=1),"Amber","Green"))</x:f>
        <x:v>Green</x:v>
      </x:c>
    </x:row>
    <x:row r="10" s="57" customFormat="1" ht="20" customHeight="1">
      <x:c r="A10" s="111" t="inlineStr">
        <x:is>
          <x:t xml:space="preserve">Contract G</x:t>
        </x:is>
      </x:c>
      <x:c r="B10" s="112" t="n">
        <x:v>13</x:v>
      </x:c>
      <x:c r="C10" s="112" t="n">
        <x:v>4</x:v>
      </x:c>
      <x:c r="D10" s="112" t="n">
        <x:v>4</x:v>
      </x:c>
      <x:c r="E10" s="112" t="n">
        <x:v>3</x:v>
      </x:c>
      <x:c r="F10" s="112" t="n">
        <x:v>6</x:v>
      </x:c>
      <x:c r="G10" s="112" t="n">
        <x:v>1</x:v>
      </x:c>
      <x:c r="H10" s="113" t="n">
        <x:v>46</x:v>
      </x:c>
      <x:c r="I10" s="112" t="n">
        <x:v>2</x:v>
      </x:c>
      <x:c r="J10" s="112" t="n">
        <x:v>0</x:v>
      </x:c>
      <x:c r="K10" s="114">
        <x:f>D10-E10</x:f>
        <x:v>1</x:v>
      </x:c>
      <x:c r="L10" s="115">
        <x:f>IF(D10=0,0,E10/D10)</x:f>
        <x:v>0.75</x:v>
      </x:c>
      <x:c r="M10" s="116" t="str">
        <x:f>IF(OR(C10&gt;=6,H10&gt;=90,J10&gt;=2),"Red",IF(OR(C10&gt;=3,H10&gt;=45,J10&gt;=1),"Amber","Green"))</x:f>
        <x:v>Amber</x:v>
      </x:c>
    </x:row>
    <x:row r="11" s="57" customFormat="1" ht="20" customHeight="1">
      <x:c r="A11" s="111" t="inlineStr">
        <x:is>
          <x:t xml:space="preserve">Contract H</x:t>
        </x:is>
      </x:c>
      <x:c r="B11" s="112" t="n">
        <x:v>11</x:v>
      </x:c>
      <x:c r="C11" s="112" t="n">
        <x:v>2</x:v>
      </x:c>
      <x:c r="D11" s="112" t="n">
        <x:v>2</x:v>
      </x:c>
      <x:c r="E11" s="112" t="n">
        <x:v>4</x:v>
      </x:c>
      <x:c r="F11" s="112" t="n">
        <x:v>5</x:v>
      </x:c>
      <x:c r="G11" s="112" t="n">
        <x:v>0</x:v>
      </x:c>
      <x:c r="H11" s="113" t="n">
        <x:v>29</x:v>
      </x:c>
      <x:c r="I11" s="112" t="n">
        <x:v>1</x:v>
      </x:c>
      <x:c r="J11" s="112" t="n">
        <x:v>0</x:v>
      </x:c>
      <x:c r="K11" s="114">
        <x:f>D11-E11</x:f>
        <x:v>-2</x:v>
      </x:c>
      <x:c r="L11" s="115">
        <x:f>IF(D11=0,0,E11/D11)</x:f>
        <x:v>2</x:v>
      </x:c>
      <x:c r="M11" s="116" t="str">
        <x:f>IF(OR(C11&gt;=6,H11&gt;=90,J11&gt;=2),"Red",IF(OR(C11&gt;=3,H11&gt;=45,J11&gt;=1),"Amber","Green"))</x:f>
        <x:v>Green</x:v>
      </x:c>
    </x:row>
    <x:row r="12" s="57" customFormat="1" ht="20" customHeight="1">
      <x:c r="A12" s="111" t="inlineStr">
        <x:is>
          <x:t xml:space="preserve">Contract I</x:t>
        </x:is>
      </x:c>
      <x:c r="B12" s="112" t="n">
        <x:v>19</x:v>
      </x:c>
      <x:c r="C12" s="112" t="n">
        <x:v>7</x:v>
      </x:c>
      <x:c r="D12" s="112" t="n">
        <x:v>5</x:v>
      </x:c>
      <x:c r="E12" s="112" t="n">
        <x:v>3</x:v>
      </x:c>
      <x:c r="F12" s="112" t="n">
        <x:v>8</x:v>
      </x:c>
      <x:c r="G12" s="112" t="n">
        <x:v>2</x:v>
      </x:c>
      <x:c r="H12" s="113" t="n">
        <x:v>73</x:v>
      </x:c>
      <x:c r="I12" s="112" t="n">
        <x:v>3</x:v>
      </x:c>
      <x:c r="J12" s="112" t="n">
        <x:v>1</x:v>
      </x:c>
      <x:c r="K12" s="114">
        <x:f>D12-E12</x:f>
        <x:v>2</x:v>
      </x:c>
      <x:c r="L12" s="115">
        <x:f>IF(D12=0,0,E12/D12)</x:f>
        <x:v>0.6</x:v>
      </x:c>
      <x:c r="M12" s="116" t="str">
        <x:f>IF(OR(C12&gt;=6,H12&gt;=90,J12&gt;=2),"Red",IF(OR(C12&gt;=3,H12&gt;=45,J12&gt;=1),"Amber","Green"))</x:f>
        <x:v>Red</x:v>
      </x:c>
    </x:row>
    <x:row r="13" s="57" customFormat="1" ht="20" customHeight="1">
      <x:c r="A13" s="111" t="inlineStr">
        <x:is>
          <x:t xml:space="preserve">Contract J</x:t>
        </x:is>
      </x:c>
      <x:c r="B13" s="112" t="n">
        <x:v>8</x:v>
      </x:c>
      <x:c r="C13" s="112" t="n">
        <x:v>2</x:v>
      </x:c>
      <x:c r="D13" s="112" t="n">
        <x:v>1</x:v>
      </x:c>
      <x:c r="E13" s="112" t="n">
        <x:v>2</x:v>
      </x:c>
      <x:c r="F13" s="112" t="n">
        <x:v>3</x:v>
      </x:c>
      <x:c r="G13" s="112" t="n">
        <x:v>0</x:v>
      </x:c>
      <x:c r="H13" s="113" t="n">
        <x:v>26</x:v>
      </x:c>
      <x:c r="I13" s="112" t="n">
        <x:v>1</x:v>
      </x:c>
      <x:c r="J13" s="112" t="n">
        <x:v>0</x:v>
      </x:c>
      <x:c r="K13" s="114">
        <x:f>D13-E13</x:f>
        <x:v>-1</x:v>
      </x:c>
      <x:c r="L13" s="115">
        <x:f>IF(D13=0,0,E13/D13)</x:f>
        <x:v>2</x:v>
      </x:c>
      <x:c r="M13" s="116" t="str">
        <x:f>IF(OR(C13&gt;=6,H13&gt;=90,J13&gt;=2),"Red",IF(OR(C13&gt;=3,H13&gt;=45,J13&gt;=1),"Amber","Green"))</x:f>
        <x:v>Green</x:v>
      </x:c>
    </x:row>
    <x:row r="14" s="57" customFormat="1" ht="20" customHeight="1">
      <x:c r="A14" s="111" t="inlineStr">
        <x:is>
          <x:t xml:space="preserve">Contract K</x:t>
        </x:is>
      </x:c>
      <x:c r="B14" s="112" t="n">
        <x:v>10</x:v>
      </x:c>
      <x:c r="C14" s="112" t="n">
        <x:v>3</x:v>
      </x:c>
      <x:c r="D14" s="112" t="n">
        <x:v>2</x:v>
      </x:c>
      <x:c r="E14" s="112" t="n">
        <x:v>1</x:v>
      </x:c>
      <x:c r="F14" s="112" t="n">
        <x:v>4</x:v>
      </x:c>
      <x:c r="G14" s="112" t="n">
        <x:v>1</x:v>
      </x:c>
      <x:c r="H14" s="113" t="n">
        <x:v>39</x:v>
      </x:c>
      <x:c r="I14" s="112" t="n">
        <x:v>1</x:v>
      </x:c>
      <x:c r="J14" s="112" t="n">
        <x:v>0</x:v>
      </x:c>
      <x:c r="K14" s="114">
        <x:f>D14-E14</x:f>
        <x:v>1</x:v>
      </x:c>
      <x:c r="L14" s="115">
        <x:f>IF(D14=0,0,E14/D14)</x:f>
        <x:v>0.5</x:v>
      </x:c>
      <x:c r="M14" s="116" t="str">
        <x:f>IF(OR(C14&gt;=6,H14&gt;=90,J14&gt;=2),"Red",IF(OR(C14&gt;=3,H14&gt;=45,J14&gt;=1),"Amber","Green"))</x:f>
        <x:v>Amber</x:v>
      </x:c>
    </x:row>
    <x:row r="15" s="57" customFormat="1" ht="20" customHeight="1">
      <x:c r="A15" s="111" t="inlineStr">
        <x:is>
          <x:t xml:space="preserve">Contract L</x:t>
        </x:is>
      </x:c>
      <x:c r="B15" s="112" t="n">
        <x:v>14</x:v>
      </x:c>
      <x:c r="C15" s="112" t="n">
        <x:v>4</x:v>
      </x:c>
      <x:c r="D15" s="112" t="n">
        <x:v>3</x:v>
      </x:c>
      <x:c r="E15" s="112" t="n">
        <x:v>2</x:v>
      </x:c>
      <x:c r="F15" s="112" t="n">
        <x:v>6</x:v>
      </x:c>
      <x:c r="G15" s="112" t="n">
        <x:v>1</x:v>
      </x:c>
      <x:c r="H15" s="113" t="n">
        <x:v>62</x:v>
      </x:c>
      <x:c r="I15" s="112" t="n">
        <x:v>2</x:v>
      </x:c>
      <x:c r="J15" s="112" t="n">
        <x:v>1</x:v>
      </x:c>
      <x:c r="K15" s="114">
        <x:f>D15-E15</x:f>
        <x:v>1</x:v>
      </x:c>
      <x:c r="L15" s="115">
        <x:f>IF(D15=0,0,E15/D15)</x:f>
        <x:v>0.6666666666666666</x:v>
      </x:c>
      <x:c r="M15" s="116" t="str">
        <x:f>IF(OR(C15&gt;=6,H15&gt;=90,J15&gt;=2),"Red",IF(OR(C15&gt;=3,H15&gt;=45,J15&gt;=1),"Amber","Green"))</x:f>
        <x:v>Amber</x:v>
      </x:c>
    </x:row>
    <x:row r="16" s="57" customFormat="1" ht="20" customHeight="1">
      <x:c r="A16" s="111" t="inlineStr">
        <x:is>
          <x:t xml:space="preserve">Contract M</x:t>
        </x:is>
      </x:c>
      <x:c r="B16" s="112" t="n">
        <x:v>6</x:v>
      </x:c>
      <x:c r="C16" s="112" t="n">
        <x:v>1</x:v>
      </x:c>
      <x:c r="D16" s="112" t="n">
        <x:v>1</x:v>
      </x:c>
      <x:c r="E16" s="112" t="n">
        <x:v>1</x:v>
      </x:c>
      <x:c r="F16" s="112" t="n">
        <x:v>2</x:v>
      </x:c>
      <x:c r="G16" s="112" t="n">
        <x:v>0</x:v>
      </x:c>
      <x:c r="H16" s="113" t="n">
        <x:v>18</x:v>
      </x:c>
      <x:c r="I16" s="112" t="n">
        <x:v>0</x:v>
      </x:c>
      <x:c r="J16" s="112" t="n">
        <x:v>0</x:v>
      </x:c>
      <x:c r="K16" s="114">
        <x:f>D16-E16</x:f>
        <x:v>0</x:v>
      </x:c>
      <x:c r="L16" s="115">
        <x:f>IF(D16=0,0,E16/D16)</x:f>
        <x:v>1</x:v>
      </x:c>
      <x:c r="M16" s="116" t="str">
        <x:f>IF(OR(C16&gt;=6,H16&gt;=90,J16&gt;=2),"Red",IF(OR(C16&gt;=3,H16&gt;=45,J16&gt;=1),"Amber","Green"))</x:f>
        <x:v>Green</x:v>
      </x:c>
    </x:row>
    <x:row r="17" s="57" customFormat="1" ht="20" customHeight="1">
      <x:c r="A17" s="111" t="inlineStr">
        <x:is>
          <x:t xml:space="preserve">Contract N</x:t>
        </x:is>
      </x:c>
      <x:c r="B17" s="112" t="n">
        <x:v>16</x:v>
      </x:c>
      <x:c r="C17" s="112" t="n">
        <x:v>5</x:v>
      </x:c>
      <x:c r="D17" s="112" t="n">
        <x:v>3</x:v>
      </x:c>
      <x:c r="E17" s="112" t="n">
        <x:v>3</x:v>
      </x:c>
      <x:c r="F17" s="112" t="n">
        <x:v>7</x:v>
      </x:c>
      <x:c r="G17" s="112" t="n">
        <x:v>1</x:v>
      </x:c>
      <x:c r="H17" s="113" t="n">
        <x:v>55</x:v>
      </x:c>
      <x:c r="I17" s="112" t="n">
        <x:v>2</x:v>
      </x:c>
      <x:c r="J17" s="112" t="n">
        <x:v>1</x:v>
      </x:c>
      <x:c r="K17" s="114">
        <x:f>D17-E17</x:f>
        <x:v>0</x:v>
      </x:c>
      <x:c r="L17" s="115">
        <x:f>IF(D17=0,0,E17/D17)</x:f>
        <x:v>1</x:v>
      </x:c>
      <x:c r="M17" s="116" t="str">
        <x:f>IF(OR(C17&gt;=6,H17&gt;=90,J17&gt;=2),"Red",IF(OR(C17&gt;=3,H17&gt;=45,J17&gt;=1),"Amber","Green"))</x:f>
        <x:v>Amber</x:v>
      </x:c>
    </x:row>
    <x:row r="18" s="57" customFormat="1" ht="20" customHeight="1">
      <x:c r="A18" s="117" t="n"/>
      <x:c r="B18" s="117" t="n"/>
      <x:c r="C18" s="117" t="n"/>
      <x:c r="D18" s="117" t="n"/>
      <x:c r="E18" s="117" t="n"/>
      <x:c r="F18" s="117" t="n"/>
      <x:c r="G18" s="117" t="n"/>
      <x:c r="H18" s="117" t="n"/>
      <x:c r="I18" s="117" t="n"/>
      <x:c r="J18" s="117" t="n"/>
      <x:c r="K18" s="118" t="n"/>
      <x:c r="L18" s="118" t="n"/>
      <x:c r="M18" s="118" t="n"/>
    </x:row>
    <x:row r="19" s="57" customFormat="1" ht="20" customHeight="1">
      <x:c r="A19" s="117" t="n"/>
      <x:c r="B19" s="117" t="n"/>
      <x:c r="C19" s="117" t="n"/>
      <x:c r="D19" s="117" t="n"/>
      <x:c r="E19" s="117" t="n"/>
      <x:c r="F19" s="117" t="n"/>
      <x:c r="G19" s="117" t="n"/>
      <x:c r="H19" s="117" t="n"/>
      <x:c r="I19" s="117" t="n"/>
      <x:c r="J19" s="117" t="n"/>
      <x:c r="K19" s="118" t="n"/>
      <x:c r="L19" s="118" t="n"/>
      <x:c r="M19" s="118" t="n"/>
    </x:row>
    <x:row r="20" s="57" customFormat="1" ht="20" customHeight="1">
      <x:c r="A20" s="117" t="n"/>
      <x:c r="B20" s="117" t="n"/>
      <x:c r="C20" s="117" t="n"/>
      <x:c r="D20" s="117" t="n"/>
      <x:c r="E20" s="117" t="n"/>
      <x:c r="F20" s="117" t="n"/>
      <x:c r="G20" s="117" t="n"/>
      <x:c r="H20" s="117" t="n"/>
      <x:c r="I20" s="117" t="n"/>
      <x:c r="J20" s="117" t="n"/>
      <x:c r="K20" s="118" t="n"/>
      <x:c r="L20" s="118" t="n"/>
      <x:c r="M20" s="118" t="n"/>
    </x:row>
    <x:row r="21" s="57" customFormat="1" ht="20" customHeight="1">
      <x:c r="A21" s="117" t="n"/>
      <x:c r="B21" s="117" t="n"/>
      <x:c r="C21" s="117" t="n"/>
      <x:c r="D21" s="117" t="n"/>
      <x:c r="E21" s="117" t="n"/>
      <x:c r="F21" s="117" t="n"/>
      <x:c r="G21" s="117" t="n"/>
      <x:c r="H21" s="117" t="n"/>
      <x:c r="I21" s="117" t="n"/>
      <x:c r="J21" s="117" t="n"/>
      <x:c r="K21" s="118" t="n"/>
      <x:c r="L21" s="118" t="n"/>
      <x:c r="M21" s="118" t="n"/>
    </x:row>
    <x:row r="22" s="57" customFormat="1" ht="20" customHeight="1">
      <x:c r="A22" s="117" t="n"/>
      <x:c r="B22" s="117" t="n"/>
      <x:c r="C22" s="117" t="n"/>
      <x:c r="D22" s="117" t="n"/>
      <x:c r="E22" s="117" t="n"/>
      <x:c r="F22" s="117" t="n"/>
      <x:c r="G22" s="117" t="n"/>
      <x:c r="H22" s="117" t="n"/>
      <x:c r="I22" s="117" t="n"/>
      <x:c r="J22" s="117" t="n"/>
      <x:c r="K22" s="118" t="n"/>
      <x:c r="L22" s="118" t="n"/>
      <x:c r="M22" s="118" t="n"/>
    </x:row>
    <x:row r="23" s="57" customFormat="1" ht="20" customHeight="1">
      <x:c r="A23" s="117" t="n"/>
      <x:c r="B23" s="117" t="n"/>
      <x:c r="C23" s="117" t="n"/>
      <x:c r="D23" s="117" t="n"/>
      <x:c r="E23" s="117" t="n"/>
      <x:c r="F23" s="117" t="n"/>
      <x:c r="G23" s="117" t="n"/>
      <x:c r="H23" s="117" t="n"/>
      <x:c r="I23" s="117" t="n"/>
      <x:c r="J23" s="117" t="n"/>
      <x:c r="K23" s="118" t="n"/>
      <x:c r="L23" s="118" t="n"/>
      <x:c r="M23" s="118" t="n"/>
    </x:row>
    <x:row r="24" s="57" customFormat="1" ht="20" customHeight="1">
      <x:c r="A24" s="119" t="inlineStr">
        <x:is>
          <x:t xml:space="preserve">Portfolio total</x:t>
        </x:is>
      </x:c>
      <x:c r="B24" s="120">
        <x:f>SUM(B4:B17)</x:f>
        <x:v>180</x:v>
      </x:c>
      <x:c r="C24" s="120">
        <x:f>SUM(C4:C17)</x:f>
        <x:v>53</x:v>
      </x:c>
      <x:c r="D24" s="120">
        <x:f>SUM(D4:D17)</x:f>
        <x:v>38</x:v>
      </x:c>
      <x:c r="E24" s="120">
        <x:f>SUM(E4:E17)</x:f>
        <x:v>36</x:v>
      </x:c>
      <x:c r="F24" s="120">
        <x:f>SUM(F4:F17)</x:f>
        <x:v>78</x:v>
      </x:c>
      <x:c r="G24" s="120">
        <x:f>SUM(G4:G17)</x:f>
        <x:v>13</x:v>
      </x:c>
      <x:c r="H24" s="121">
        <x:f>IF(SUM(B4:B17)=0,0,SUMPRODUCT(B4:B17,H4:H17)/SUM(B4:B17))</x:f>
        <x:v>55.07222222222222</x:v>
      </x:c>
      <x:c r="I24" s="120">
        <x:f>SUM(I4:I17)</x:f>
        <x:v>24</x:v>
      </x:c>
      <x:c r="J24" s="120">
        <x:f>SUM(J4:J17)</x:f>
        <x:v>8</x:v>
      </x:c>
      <x:c r="K24" s="120">
        <x:f>SUM(K4:K17)</x:f>
        <x:v>2</x:v>
      </x:c>
      <x:c r="L24" s="122">
        <x:f>IF(SUM(D4:D17)=0,0,SUM(E4:E17)/SUM(D4:D17))</x:f>
        <x:v>0.9473684210526315</x:v>
      </x:c>
      <x:c r="M24" s="120" t="inlineStr">
        <x:is>
          <x:t xml:space="preserve"/>
        </x:is>
      </x:c>
    </x:row>
    <x:row r="25" s="57" customFormat="1" ht="20" customHeight="1"/>
    <x:row r="26" s="57" customFormat="1" ht="20" customHeight="1"/>
    <x:row r="27" s="57" customFormat="1" ht="20" customHeight="1"/>
    <x:row r="28" s="57" customFormat="1" ht="20" customHeight="1"/>
    <x:row r="29" s="57" customFormat="1" ht="20" customHeight="1"/>
  </x:sheetData>
  <x:mergeCells>
    <x:mergeCell ref="A1:M1"/>
  </x:mergeCells>
  <x:conditionalFormatting sqref="M4:M17">
    <x:cfRule type="expression" dxfId="0" priority="1">
      <x:formula>M4="Red"</x:formula>
    </x:cfRule>
    <x:cfRule type="expression" dxfId="1" priority="2">
      <x:formula>M4="Amber"</x:formula>
    </x:cfRule>
    <x:cfRule type="expression" dxfId="2" priority="3">
      <x:formula>M4="Green"</x:formula>
    </x:cfRule>
  </x:conditionalFormatting>
  <x:pageMargins left="0.7" right="0.7" top="0.75" bottom="0.75" header="0.3" footer="0.3"/>
</x:worksheet>
</file>